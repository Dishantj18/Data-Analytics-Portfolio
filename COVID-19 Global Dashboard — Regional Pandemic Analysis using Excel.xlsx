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isha\Desktop\Data Analytics\topic excel\4264385-MINI_PROJECT_-_WEEK_01\"/>
    </mc:Choice>
  </mc:AlternateContent>
  <xr:revisionPtr revIDLastSave="0" documentId="13_ncr:1_{5FEAD3E7-AD35-411F-A5C5-889BAB7F15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eaned data" sheetId="1" r:id="rId1"/>
    <sheet name="Pivot table" sheetId="2" r:id="rId2"/>
    <sheet name="Brainstorming answer 1" sheetId="5" r:id="rId3"/>
  </sheets>
  <calcPr calcId="191029"/>
  <pivotCaches>
    <pivotCache cacheId="3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5" i="1" l="1" a="1"/>
  <c r="Q45" i="1" s="1"/>
  <c r="Q40" i="1"/>
  <c r="Q38" i="1"/>
  <c r="K114" i="1"/>
  <c r="J114" i="1"/>
  <c r="I114" i="1"/>
  <c r="L114" i="1" s="1"/>
  <c r="K99" i="1"/>
  <c r="J99" i="1"/>
  <c r="I99" i="1"/>
  <c r="L99" i="1" s="1"/>
  <c r="K131" i="1"/>
  <c r="J131" i="1"/>
  <c r="I131" i="1"/>
  <c r="L131" i="1" s="1"/>
  <c r="K188" i="1"/>
  <c r="J188" i="1"/>
  <c r="I188" i="1"/>
  <c r="L188" i="1" s="1"/>
  <c r="K79" i="1"/>
  <c r="J79" i="1"/>
  <c r="I79" i="1"/>
  <c r="L79" i="1" s="1"/>
  <c r="K157" i="1"/>
  <c r="J157" i="1"/>
  <c r="I157" i="1"/>
  <c r="L157" i="1" s="1"/>
  <c r="K68" i="1"/>
  <c r="J68" i="1"/>
  <c r="I68" i="1"/>
  <c r="L68" i="1" s="1"/>
  <c r="K62" i="1"/>
  <c r="J62" i="1"/>
  <c r="I62" i="1"/>
  <c r="L62" i="1" s="1"/>
  <c r="K136" i="1"/>
  <c r="J136" i="1"/>
  <c r="I136" i="1"/>
  <c r="L136" i="1" s="1"/>
  <c r="K10" i="1"/>
  <c r="J10" i="1"/>
  <c r="I10" i="1"/>
  <c r="L10" i="1" s="1"/>
  <c r="K41" i="1"/>
  <c r="J41" i="1"/>
  <c r="I41" i="1"/>
  <c r="L41" i="1" s="1"/>
  <c r="K35" i="1"/>
  <c r="J35" i="1"/>
  <c r="I35" i="1"/>
  <c r="L35" i="1" s="1"/>
  <c r="K141" i="1"/>
  <c r="J141" i="1"/>
  <c r="I141" i="1"/>
  <c r="L141" i="1" s="1"/>
  <c r="K2" i="1"/>
  <c r="J2" i="1"/>
  <c r="I2" i="1"/>
  <c r="L2" i="1" s="1"/>
  <c r="K17" i="1"/>
  <c r="J17" i="1"/>
  <c r="I17" i="1"/>
  <c r="L17" i="1" s="1"/>
  <c r="K134" i="1"/>
  <c r="J134" i="1"/>
  <c r="I134" i="1"/>
  <c r="L134" i="1" s="1"/>
  <c r="K168" i="1"/>
  <c r="J168" i="1"/>
  <c r="I168" i="1"/>
  <c r="L168" i="1" s="1"/>
  <c r="K147" i="1"/>
  <c r="J147" i="1"/>
  <c r="I147" i="1"/>
  <c r="L147" i="1" s="1"/>
  <c r="K181" i="1"/>
  <c r="J181" i="1"/>
  <c r="I181" i="1"/>
  <c r="L181" i="1" s="1"/>
  <c r="K107" i="1"/>
  <c r="J107" i="1"/>
  <c r="I107" i="1"/>
  <c r="L107" i="1" s="1"/>
  <c r="K154" i="1"/>
  <c r="J154" i="1"/>
  <c r="I154" i="1"/>
  <c r="L154" i="1" s="1"/>
  <c r="K90" i="1"/>
  <c r="J90" i="1"/>
  <c r="I90" i="1"/>
  <c r="L90" i="1" s="1"/>
  <c r="K156" i="1"/>
  <c r="J156" i="1"/>
  <c r="I156" i="1"/>
  <c r="L156" i="1" s="1"/>
  <c r="K153" i="1"/>
  <c r="J153" i="1"/>
  <c r="I153" i="1"/>
  <c r="L153" i="1" s="1"/>
  <c r="K53" i="1"/>
  <c r="J53" i="1"/>
  <c r="I53" i="1"/>
  <c r="L53" i="1" s="1"/>
  <c r="K31" i="1"/>
  <c r="J31" i="1"/>
  <c r="I31" i="1"/>
  <c r="L31" i="1" s="1"/>
  <c r="K133" i="1"/>
  <c r="J133" i="1"/>
  <c r="I133" i="1"/>
  <c r="L133" i="1" s="1"/>
  <c r="K77" i="1"/>
  <c r="J77" i="1"/>
  <c r="I77" i="1"/>
  <c r="L77" i="1" s="1"/>
  <c r="K113" i="1"/>
  <c r="J113" i="1"/>
  <c r="I113" i="1"/>
  <c r="L113" i="1" s="1"/>
  <c r="K13" i="1"/>
  <c r="J13" i="1"/>
  <c r="I13" i="1"/>
  <c r="L13" i="1" s="1"/>
  <c r="K119" i="1"/>
  <c r="J119" i="1"/>
  <c r="I119" i="1"/>
  <c r="L119" i="1" s="1"/>
  <c r="K75" i="1"/>
  <c r="J75" i="1"/>
  <c r="I75" i="1"/>
  <c r="L75" i="1" s="1"/>
  <c r="K6" i="1"/>
  <c r="J6" i="1"/>
  <c r="I6" i="1"/>
  <c r="L6" i="1" s="1"/>
  <c r="K109" i="1"/>
  <c r="J109" i="1"/>
  <c r="I109" i="1"/>
  <c r="L109" i="1" s="1"/>
  <c r="K121" i="1"/>
  <c r="J121" i="1"/>
  <c r="I121" i="1"/>
  <c r="L121" i="1" s="1"/>
  <c r="K120" i="1"/>
  <c r="J120" i="1"/>
  <c r="I120" i="1"/>
  <c r="L120" i="1" s="1"/>
  <c r="K43" i="1"/>
  <c r="J43" i="1"/>
  <c r="I43" i="1"/>
  <c r="L43" i="1" s="1"/>
  <c r="K128" i="1"/>
  <c r="J128" i="1"/>
  <c r="I128" i="1"/>
  <c r="L128" i="1" s="1"/>
  <c r="K171" i="1"/>
  <c r="J171" i="1"/>
  <c r="I171" i="1"/>
  <c r="L171" i="1" s="1"/>
  <c r="K60" i="1"/>
  <c r="J60" i="1"/>
  <c r="I60" i="1"/>
  <c r="L60" i="1" s="1"/>
  <c r="K82" i="1"/>
  <c r="J82" i="1"/>
  <c r="I82" i="1"/>
  <c r="L82" i="1" s="1"/>
  <c r="K14" i="1"/>
  <c r="J14" i="1"/>
  <c r="I14" i="1"/>
  <c r="L14" i="1" s="1"/>
  <c r="K148" i="1"/>
  <c r="J148" i="1"/>
  <c r="I148" i="1"/>
  <c r="L148" i="1" s="1"/>
  <c r="K152" i="1"/>
  <c r="J152" i="1"/>
  <c r="I152" i="1"/>
  <c r="L152" i="1" s="1"/>
  <c r="K177" i="1"/>
  <c r="J177" i="1"/>
  <c r="I177" i="1"/>
  <c r="L177" i="1" s="1"/>
  <c r="K180" i="1"/>
  <c r="J180" i="1"/>
  <c r="I180" i="1"/>
  <c r="L180" i="1" s="1"/>
  <c r="K185" i="1"/>
  <c r="J185" i="1"/>
  <c r="I185" i="1"/>
  <c r="L185" i="1" s="1"/>
  <c r="K125" i="1"/>
  <c r="J125" i="1"/>
  <c r="I125" i="1"/>
  <c r="L125" i="1" s="1"/>
  <c r="K5" i="1"/>
  <c r="J5" i="1"/>
  <c r="I5" i="1"/>
  <c r="L5" i="1" s="1"/>
  <c r="K45" i="1"/>
  <c r="J45" i="1"/>
  <c r="I45" i="1"/>
  <c r="L45" i="1" s="1"/>
  <c r="K24" i="1"/>
  <c r="J24" i="1"/>
  <c r="I24" i="1"/>
  <c r="L24" i="1" s="1"/>
  <c r="K44" i="1"/>
  <c r="J44" i="1"/>
  <c r="I44" i="1"/>
  <c r="L44" i="1" s="1"/>
  <c r="K47" i="1"/>
  <c r="J47" i="1"/>
  <c r="I47" i="1"/>
  <c r="L47" i="1" s="1"/>
  <c r="K29" i="1"/>
  <c r="J29" i="1"/>
  <c r="I29" i="1"/>
  <c r="L29" i="1" s="1"/>
  <c r="K8" i="1"/>
  <c r="J8" i="1"/>
  <c r="I8" i="1"/>
  <c r="L8" i="1" s="1"/>
  <c r="K100" i="1"/>
  <c r="J100" i="1"/>
  <c r="I100" i="1"/>
  <c r="L100" i="1" s="1"/>
  <c r="K176" i="1"/>
  <c r="J176" i="1"/>
  <c r="I176" i="1"/>
  <c r="L176" i="1" s="1"/>
  <c r="K40" i="1"/>
  <c r="J40" i="1"/>
  <c r="I40" i="1"/>
  <c r="L40" i="1" s="1"/>
  <c r="K12" i="1"/>
  <c r="J12" i="1"/>
  <c r="I12" i="1"/>
  <c r="L12" i="1" s="1"/>
  <c r="K32" i="1"/>
  <c r="J32" i="1"/>
  <c r="I32" i="1"/>
  <c r="L32" i="1" s="1"/>
  <c r="K84" i="1"/>
  <c r="J84" i="1"/>
  <c r="I84" i="1"/>
  <c r="L84" i="1" s="1"/>
  <c r="K81" i="1"/>
  <c r="J81" i="1"/>
  <c r="I81" i="1"/>
  <c r="L81" i="1" s="1"/>
  <c r="K48" i="1"/>
  <c r="J48" i="1"/>
  <c r="I48" i="1"/>
  <c r="L48" i="1" s="1"/>
  <c r="K140" i="1"/>
  <c r="J140" i="1"/>
  <c r="I140" i="1"/>
  <c r="L140" i="1" s="1"/>
  <c r="K105" i="1"/>
  <c r="J105" i="1"/>
  <c r="I105" i="1"/>
  <c r="L105" i="1" s="1"/>
  <c r="K132" i="1"/>
  <c r="J132" i="1"/>
  <c r="I132" i="1"/>
  <c r="L132" i="1" s="1"/>
  <c r="K42" i="1"/>
  <c r="J42" i="1"/>
  <c r="I42" i="1"/>
  <c r="L42" i="1" s="1"/>
  <c r="K65" i="1"/>
  <c r="J65" i="1"/>
  <c r="I65" i="1"/>
  <c r="L65" i="1" s="1"/>
  <c r="K127" i="1"/>
  <c r="J127" i="1"/>
  <c r="I127" i="1"/>
  <c r="L127" i="1" s="1"/>
  <c r="K130" i="1"/>
  <c r="J130" i="1"/>
  <c r="I130" i="1"/>
  <c r="L130" i="1" s="1"/>
  <c r="K63" i="1"/>
  <c r="J63" i="1"/>
  <c r="I63" i="1"/>
  <c r="L63" i="1" s="1"/>
  <c r="K111" i="1"/>
  <c r="J111" i="1"/>
  <c r="I111" i="1"/>
  <c r="L111" i="1" s="1"/>
  <c r="K165" i="1"/>
  <c r="J165" i="1"/>
  <c r="I165" i="1"/>
  <c r="L165" i="1" s="1"/>
  <c r="K170" i="1"/>
  <c r="J170" i="1"/>
  <c r="I170" i="1"/>
  <c r="L170" i="1" s="1"/>
  <c r="K61" i="1"/>
  <c r="J61" i="1"/>
  <c r="I61" i="1"/>
  <c r="L61" i="1" s="1"/>
  <c r="K7" i="1"/>
  <c r="J7" i="1"/>
  <c r="I7" i="1"/>
  <c r="L7" i="1" s="1"/>
  <c r="K163" i="1"/>
  <c r="J163" i="1"/>
  <c r="I163" i="1"/>
  <c r="L163" i="1" s="1"/>
  <c r="K94" i="1"/>
  <c r="J94" i="1"/>
  <c r="I94" i="1"/>
  <c r="L94" i="1" s="1"/>
  <c r="K151" i="1"/>
  <c r="J151" i="1"/>
  <c r="I151" i="1"/>
  <c r="L151" i="1" s="1"/>
  <c r="K116" i="1"/>
  <c r="J116" i="1"/>
  <c r="I116" i="1"/>
  <c r="L116" i="1" s="1"/>
  <c r="K106" i="1"/>
  <c r="J106" i="1"/>
  <c r="I106" i="1"/>
  <c r="L106" i="1" s="1"/>
  <c r="K85" i="1"/>
  <c r="J85" i="1"/>
  <c r="I85" i="1"/>
  <c r="L85" i="1" s="1"/>
  <c r="K104" i="1"/>
  <c r="J104" i="1"/>
  <c r="I104" i="1"/>
  <c r="L104" i="1" s="1"/>
  <c r="K83" i="1"/>
  <c r="J83" i="1"/>
  <c r="I83" i="1"/>
  <c r="L83" i="1" s="1"/>
  <c r="K93" i="1"/>
  <c r="J93" i="1"/>
  <c r="I93" i="1"/>
  <c r="L93" i="1" s="1"/>
  <c r="K123" i="1"/>
  <c r="J123" i="1"/>
  <c r="I123" i="1"/>
  <c r="L123" i="1" s="1"/>
  <c r="K175" i="1"/>
  <c r="J175" i="1"/>
  <c r="I175" i="1"/>
  <c r="L175" i="1" s="1"/>
  <c r="K112" i="1"/>
  <c r="J112" i="1"/>
  <c r="I112" i="1"/>
  <c r="L112" i="1" s="1"/>
  <c r="K138" i="1"/>
  <c r="J138" i="1"/>
  <c r="I138" i="1"/>
  <c r="L138" i="1" s="1"/>
  <c r="K155" i="1"/>
  <c r="J155" i="1"/>
  <c r="I155" i="1"/>
  <c r="L155" i="1" s="1"/>
  <c r="K103" i="1"/>
  <c r="J103" i="1"/>
  <c r="I103" i="1"/>
  <c r="L103" i="1" s="1"/>
  <c r="K135" i="1"/>
  <c r="J135" i="1"/>
  <c r="I135" i="1"/>
  <c r="L135" i="1" s="1"/>
  <c r="K183" i="1"/>
  <c r="J183" i="1"/>
  <c r="I183" i="1"/>
  <c r="L183" i="1" s="1"/>
  <c r="K55" i="1"/>
  <c r="J55" i="1"/>
  <c r="I55" i="1"/>
  <c r="L55" i="1" s="1"/>
  <c r="K37" i="1"/>
  <c r="J37" i="1"/>
  <c r="I37" i="1"/>
  <c r="L37" i="1" s="1"/>
  <c r="K87" i="1"/>
  <c r="J87" i="1"/>
  <c r="I87" i="1"/>
  <c r="L87" i="1" s="1"/>
  <c r="K66" i="1"/>
  <c r="J66" i="1"/>
  <c r="I66" i="1"/>
  <c r="L66" i="1" s="1"/>
  <c r="K28" i="1"/>
  <c r="J28" i="1"/>
  <c r="I28" i="1"/>
  <c r="L28" i="1" s="1"/>
  <c r="K137" i="1"/>
  <c r="J137" i="1"/>
  <c r="I137" i="1"/>
  <c r="L137" i="1" s="1"/>
  <c r="K56" i="1"/>
  <c r="J56" i="1"/>
  <c r="I56" i="1"/>
  <c r="L56" i="1" s="1"/>
  <c r="K149" i="1"/>
  <c r="J149" i="1"/>
  <c r="I149" i="1"/>
  <c r="L149" i="1" s="1"/>
  <c r="K16" i="1"/>
  <c r="J16" i="1"/>
  <c r="I16" i="1"/>
  <c r="L16" i="1" s="1"/>
  <c r="K39" i="1"/>
  <c r="J39" i="1"/>
  <c r="I39" i="1"/>
  <c r="L39" i="1" s="1"/>
  <c r="K59" i="1"/>
  <c r="J59" i="1"/>
  <c r="I59" i="1"/>
  <c r="L59" i="1" s="1"/>
  <c r="K23" i="1"/>
  <c r="J23" i="1"/>
  <c r="I23" i="1"/>
  <c r="L23" i="1" s="1"/>
  <c r="K11" i="1"/>
  <c r="J11" i="1"/>
  <c r="I11" i="1"/>
  <c r="L11" i="1" s="1"/>
  <c r="K25" i="1"/>
  <c r="J25" i="1"/>
  <c r="I25" i="1"/>
  <c r="L25" i="1" s="1"/>
  <c r="K4" i="1"/>
  <c r="J4" i="1"/>
  <c r="I4" i="1"/>
  <c r="L4" i="1" s="1"/>
  <c r="K126" i="1"/>
  <c r="J126" i="1"/>
  <c r="I126" i="1"/>
  <c r="L126" i="1" s="1"/>
  <c r="K101" i="1"/>
  <c r="J101" i="1"/>
  <c r="I101" i="1"/>
  <c r="L101" i="1" s="1"/>
  <c r="K49" i="1"/>
  <c r="J49" i="1"/>
  <c r="I49" i="1"/>
  <c r="L49" i="1" s="1"/>
  <c r="K187" i="1"/>
  <c r="J187" i="1"/>
  <c r="I187" i="1"/>
  <c r="L187" i="1" s="1"/>
  <c r="K89" i="1"/>
  <c r="J89" i="1"/>
  <c r="I89" i="1"/>
  <c r="L89" i="1" s="1"/>
  <c r="K158" i="1"/>
  <c r="J158" i="1"/>
  <c r="I158" i="1"/>
  <c r="L158" i="1" s="1"/>
  <c r="K124" i="1"/>
  <c r="J124" i="1"/>
  <c r="I124" i="1"/>
  <c r="L124" i="1" s="1"/>
  <c r="K92" i="1"/>
  <c r="J92" i="1"/>
  <c r="I92" i="1"/>
  <c r="L92" i="1" s="1"/>
  <c r="K46" i="1"/>
  <c r="J46" i="1"/>
  <c r="I46" i="1"/>
  <c r="L46" i="1" s="1"/>
  <c r="K182" i="1"/>
  <c r="J182" i="1"/>
  <c r="I182" i="1"/>
  <c r="L182" i="1" s="1"/>
  <c r="K186" i="1"/>
  <c r="J186" i="1"/>
  <c r="I186" i="1"/>
  <c r="L186" i="1" s="1"/>
  <c r="K102" i="1"/>
  <c r="J102" i="1"/>
  <c r="I102" i="1"/>
  <c r="L102" i="1" s="1"/>
  <c r="K54" i="1"/>
  <c r="J54" i="1"/>
  <c r="I54" i="1"/>
  <c r="L54" i="1" s="1"/>
  <c r="K20" i="1"/>
  <c r="J20" i="1"/>
  <c r="I20" i="1"/>
  <c r="L20" i="1" s="1"/>
  <c r="K139" i="1"/>
  <c r="J139" i="1"/>
  <c r="I139" i="1"/>
  <c r="L139" i="1" s="1"/>
  <c r="K164" i="1"/>
  <c r="J164" i="1"/>
  <c r="I164" i="1"/>
  <c r="L164" i="1" s="1"/>
  <c r="K91" i="1"/>
  <c r="J91" i="1"/>
  <c r="I91" i="1"/>
  <c r="L91" i="1" s="1"/>
  <c r="K19" i="1"/>
  <c r="J19" i="1"/>
  <c r="I19" i="1"/>
  <c r="L19" i="1" s="1"/>
  <c r="K88" i="1"/>
  <c r="J88" i="1"/>
  <c r="I88" i="1"/>
  <c r="L88" i="1" s="1"/>
  <c r="K179" i="1"/>
  <c r="J179" i="1"/>
  <c r="I179" i="1"/>
  <c r="L179" i="1" s="1"/>
  <c r="K74" i="1"/>
  <c r="J74" i="1"/>
  <c r="I74" i="1"/>
  <c r="L74" i="1" s="1"/>
  <c r="K118" i="1"/>
  <c r="J118" i="1"/>
  <c r="I118" i="1"/>
  <c r="L118" i="1" s="1"/>
  <c r="K122" i="1"/>
  <c r="J122" i="1"/>
  <c r="I122" i="1"/>
  <c r="L122" i="1" s="1"/>
  <c r="K166" i="1"/>
  <c r="J166" i="1"/>
  <c r="I166" i="1"/>
  <c r="L166" i="1" s="1"/>
  <c r="K110" i="1"/>
  <c r="J110" i="1"/>
  <c r="I110" i="1"/>
  <c r="L110" i="1" s="1"/>
  <c r="K73" i="1"/>
  <c r="J73" i="1"/>
  <c r="I73" i="1"/>
  <c r="L73" i="1" s="1"/>
  <c r="K26" i="1"/>
  <c r="J26" i="1"/>
  <c r="I26" i="1"/>
  <c r="L26" i="1" s="1"/>
  <c r="K30" i="1"/>
  <c r="J30" i="1"/>
  <c r="I30" i="1"/>
  <c r="L30" i="1" s="1"/>
  <c r="K38" i="1"/>
  <c r="J38" i="1"/>
  <c r="I38" i="1"/>
  <c r="L38" i="1" s="1"/>
  <c r="K184" i="1"/>
  <c r="J184" i="1"/>
  <c r="I184" i="1"/>
  <c r="L184" i="1" s="1"/>
  <c r="K95" i="1"/>
  <c r="J95" i="1"/>
  <c r="I95" i="1"/>
  <c r="L95" i="1" s="1"/>
  <c r="K76" i="1"/>
  <c r="J76" i="1"/>
  <c r="I76" i="1"/>
  <c r="L76" i="1" s="1"/>
  <c r="K71" i="1"/>
  <c r="J71" i="1"/>
  <c r="I71" i="1"/>
  <c r="L71" i="1" s="1"/>
  <c r="K143" i="1"/>
  <c r="J143" i="1"/>
  <c r="I143" i="1"/>
  <c r="L143" i="1" s="1"/>
  <c r="K115" i="1"/>
  <c r="J115" i="1"/>
  <c r="I115" i="1"/>
  <c r="L115" i="1" s="1"/>
  <c r="K96" i="1"/>
  <c r="J96" i="1"/>
  <c r="I96" i="1"/>
  <c r="L96" i="1" s="1"/>
  <c r="K70" i="1"/>
  <c r="J70" i="1"/>
  <c r="I70" i="1"/>
  <c r="L70" i="1" s="1"/>
  <c r="K69" i="1"/>
  <c r="J69" i="1"/>
  <c r="I69" i="1"/>
  <c r="L69" i="1" s="1"/>
  <c r="K86" i="1"/>
  <c r="J86" i="1"/>
  <c r="I86" i="1"/>
  <c r="L86" i="1" s="1"/>
  <c r="K108" i="1"/>
  <c r="J108" i="1"/>
  <c r="I108" i="1"/>
  <c r="L108" i="1" s="1"/>
  <c r="K161" i="1"/>
  <c r="J161" i="1"/>
  <c r="I161" i="1"/>
  <c r="L161" i="1" s="1"/>
  <c r="K15" i="1"/>
  <c r="J15" i="1"/>
  <c r="I15" i="1"/>
  <c r="L15" i="1" s="1"/>
  <c r="K27" i="1"/>
  <c r="J27" i="1"/>
  <c r="I27" i="1"/>
  <c r="L27" i="1" s="1"/>
  <c r="K9" i="1"/>
  <c r="J9" i="1"/>
  <c r="I9" i="1"/>
  <c r="L9" i="1" s="1"/>
  <c r="K145" i="1"/>
  <c r="J145" i="1"/>
  <c r="I145" i="1"/>
  <c r="L145" i="1" s="1"/>
  <c r="K98" i="1"/>
  <c r="J98" i="1"/>
  <c r="I98" i="1"/>
  <c r="L98" i="1" s="1"/>
  <c r="K22" i="1"/>
  <c r="J22" i="1"/>
  <c r="I22" i="1"/>
  <c r="L22" i="1" s="1"/>
  <c r="K67" i="1"/>
  <c r="J67" i="1"/>
  <c r="I67" i="1"/>
  <c r="L67" i="1" s="1"/>
  <c r="K167" i="1"/>
  <c r="J167" i="1"/>
  <c r="I167" i="1"/>
  <c r="L167" i="1" s="1"/>
  <c r="K117" i="1"/>
  <c r="J117" i="1"/>
  <c r="I117" i="1"/>
  <c r="L117" i="1" s="1"/>
  <c r="K160" i="1"/>
  <c r="J160" i="1"/>
  <c r="I160" i="1"/>
  <c r="L160" i="1" s="1"/>
  <c r="K162" i="1"/>
  <c r="J162" i="1"/>
  <c r="I162" i="1"/>
  <c r="L162" i="1" s="1"/>
  <c r="K142" i="1"/>
  <c r="J142" i="1"/>
  <c r="I142" i="1"/>
  <c r="L142" i="1" s="1"/>
  <c r="K78" i="1"/>
  <c r="J78" i="1"/>
  <c r="I78" i="1"/>
  <c r="L78" i="1" s="1"/>
  <c r="K169" i="1"/>
  <c r="J169" i="1"/>
  <c r="I169" i="1"/>
  <c r="L169" i="1" s="1"/>
  <c r="K3" i="1"/>
  <c r="J3" i="1"/>
  <c r="I3" i="1"/>
  <c r="L3" i="1" s="1"/>
  <c r="K150" i="1"/>
  <c r="J150" i="1"/>
  <c r="I150" i="1"/>
  <c r="L150" i="1" s="1"/>
  <c r="K80" i="1"/>
  <c r="J80" i="1"/>
  <c r="I80" i="1"/>
  <c r="L80" i="1" s="1"/>
  <c r="K33" i="1"/>
  <c r="J33" i="1"/>
  <c r="I33" i="1"/>
  <c r="L33" i="1" s="1"/>
  <c r="K173" i="1"/>
  <c r="J173" i="1"/>
  <c r="I173" i="1"/>
  <c r="L173" i="1" s="1"/>
  <c r="K129" i="1"/>
  <c r="J129" i="1"/>
  <c r="I129" i="1"/>
  <c r="L129" i="1" s="1"/>
  <c r="K178" i="1"/>
  <c r="J178" i="1"/>
  <c r="I178" i="1"/>
  <c r="L178" i="1" s="1"/>
  <c r="K36" i="1"/>
  <c r="J36" i="1"/>
  <c r="I36" i="1"/>
  <c r="L36" i="1" s="1"/>
  <c r="K34" i="1"/>
  <c r="J34" i="1"/>
  <c r="I34" i="1"/>
  <c r="L34" i="1" s="1"/>
  <c r="K172" i="1"/>
  <c r="J172" i="1"/>
  <c r="I172" i="1"/>
  <c r="L172" i="1" s="1"/>
  <c r="K18" i="1"/>
  <c r="J18" i="1"/>
  <c r="I18" i="1"/>
  <c r="L18" i="1" s="1"/>
  <c r="K50" i="1"/>
  <c r="J50" i="1"/>
  <c r="I50" i="1"/>
  <c r="L50" i="1" s="1"/>
  <c r="K159" i="1"/>
  <c r="J159" i="1"/>
  <c r="I159" i="1"/>
  <c r="L159" i="1" s="1"/>
  <c r="K57" i="1"/>
  <c r="J57" i="1"/>
  <c r="I57" i="1"/>
  <c r="L57" i="1" s="1"/>
  <c r="K64" i="1"/>
  <c r="J64" i="1"/>
  <c r="I64" i="1"/>
  <c r="L64" i="1" s="1"/>
  <c r="K72" i="1"/>
  <c r="J72" i="1"/>
  <c r="I72" i="1"/>
  <c r="L72" i="1" s="1"/>
  <c r="K51" i="1"/>
  <c r="J51" i="1"/>
  <c r="I51" i="1"/>
  <c r="L51" i="1" s="1"/>
  <c r="K21" i="1"/>
  <c r="J21" i="1"/>
  <c r="I21" i="1"/>
  <c r="L21" i="1" s="1"/>
  <c r="K174" i="1"/>
  <c r="J174" i="1"/>
  <c r="I174" i="1"/>
  <c r="L174" i="1" s="1"/>
  <c r="K144" i="1"/>
  <c r="J144" i="1"/>
  <c r="I144" i="1"/>
  <c r="L144" i="1" s="1"/>
  <c r="K146" i="1"/>
  <c r="J146" i="1"/>
  <c r="I146" i="1"/>
  <c r="L146" i="1" s="1"/>
  <c r="K58" i="1"/>
  <c r="J58" i="1"/>
  <c r="I58" i="1"/>
  <c r="L58" i="1" s="1"/>
  <c r="K97" i="1"/>
  <c r="J97" i="1"/>
  <c r="I97" i="1"/>
  <c r="L97" i="1" s="1"/>
  <c r="K52" i="1"/>
  <c r="J52" i="1"/>
  <c r="I52" i="1"/>
  <c r="L5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<sst xmlns="http://schemas.openxmlformats.org/spreadsheetml/2006/main" count="416" uniqueCount="221">
  <si>
    <t>Country/Region</t>
  </si>
  <si>
    <t>Confirmed</t>
  </si>
  <si>
    <t>Deaths</t>
  </si>
  <si>
    <t>Recovered</t>
  </si>
  <si>
    <t>Active</t>
  </si>
  <si>
    <t>Population</t>
  </si>
  <si>
    <t>Continent</t>
  </si>
  <si>
    <t>Date of First Case</t>
  </si>
  <si>
    <t>Death Rate (%)</t>
  </si>
  <si>
    <t>Recovery Rate (%)</t>
  </si>
  <si>
    <t>Infection Rate (%)</t>
  </si>
  <si>
    <t>Risk Category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</si>
  <si>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</si>
  <si>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</si>
  <si>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</si>
  <si>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</si>
  <si>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</si>
  <si>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</si>
  <si>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</si>
  <si>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</si>
  <si>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Antigua and Barbuda</t>
  </si>
  <si>
    <t>North America</t>
  </si>
  <si>
    <t>Argentina</t>
  </si>
  <si>
    <t>South America</t>
  </si>
  <si>
    <t>Armenia</t>
  </si>
  <si>
    <t>Australia</t>
  </si>
  <si>
    <t>Australia/Oceania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</si>
  <si>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</si>
  <si>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</si>
  <si>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</si>
  <si>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</si>
  <si>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</si>
  <si>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</si>
  <si>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</si>
  <si>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</si>
  <si>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</si>
  <si>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</si>
  <si>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</si>
  <si>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</si>
  <si>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</si>
  <si>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</si>
  <si>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</si>
  <si>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</si>
  <si>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</si>
  <si>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</si>
  <si>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Myanmar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</si>
  <si>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</si>
  <si>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</si>
  <si>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</si>
  <si>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</si>
  <si>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</si>
  <si>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</si>
  <si>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</si>
  <si>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</si>
  <si>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</si>
  <si>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</si>
  <si>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</si>
  <si>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</si>
  <si>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</si>
  <si>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</si>
  <si>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</si>
  <si>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</si>
  <si>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</si>
  <si>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</si>
  <si>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</si>
  <si>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</si>
  <si>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</si>
  <si>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</si>
  <si>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</si>
  <si>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</si>
  <si>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</si>
  <si>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</si>
  <si>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</si>
  <si>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</si>
  <si>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</si>
  <si>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</si>
  <si>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</si>
  <si>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</si>
  <si>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</si>
  <si>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</si>
  <si>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</si>
  <si>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</si>
  <si>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</si>
  <si>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</si>
  <si>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</si>
  <si>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</si>
  <si>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</si>
  <si>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</si>
  <si>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</si>
  <si>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</si>
  <si>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</si>
  <si>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</si>
  <si>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</si>
  <si>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</si>
  <si>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</si>
  <si>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</si>
  <si>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</si>
  <si>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</si>
  <si>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</si>
  <si>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</si>
  <si>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</si>
  <si>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</si>
  <si>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</si>
  <si>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</si>
  <si>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</si>
  <si>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</si>
  <si>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</si>
  <si>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</si>
  <si>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</si>
  <si>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</si>
  <si>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</si>
  <si>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</si>
  <si>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</si>
  <si>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</si>
  <si>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</si>
  <si>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</si>
  <si>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</si>
  <si>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</si>
  <si>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</si>
  <si>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</si>
  <si>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</si>
  <si>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</si>
  <si>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</si>
  <si>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</si>
  <si>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</si>
  <si>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</si>
  <si>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</si>
  <si>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</si>
  <si>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</si>
  <si>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</si>
  <si>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</si>
  <si>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</si>
  <si>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</si>
  <si>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</si>
  <si>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</si>
  <si>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</si>
  <si>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</si>
  <si>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</si>
  <si>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</si>
  <si>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</si>
  <si>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</si>
  <si>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</si>
  <si>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</si>
  <si>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</si>
  <si>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</si>
  <si>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</si>
  <si>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</si>
  <si>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</si>
  <si>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</si>
  <si>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</si>
  <si>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</si>
  <si>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</si>
  <si>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</si>
  <si>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</si>
  <si>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</si>
  <si>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</si>
  <si>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</si>
  <si>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</si>
  <si>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</si>
  <si>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</si>
  <si>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</si>
  <si>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</si>
  <si>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</si>
  <si>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</si>
  <si>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</si>
  <si>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</si>
  <si>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</si>
  <si>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</si>
  <si>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</si>
  <si>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</si>
  <si>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</si>
  <si>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</si>
  <si>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</si>
  <si>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</si>
  <si>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</si>
  <si>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</si>
  <si>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</si>
  <si>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</si>
  <si>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</si>
  <si>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</si>
  <si>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</si>
  <si>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</si>
  <si>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</si>
  <si>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</si>
  <si>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</si>
  <si>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</si>
  <si>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</si>
  <si>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</si>
  <si>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</si>
  <si>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</si>
  <si>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</si>
  <si>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</si>
  <si>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</si>
  <si>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</si>
  <si>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</si>
  <si>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</si>
  <si>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</si>
  <si>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</si>
  <si>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</si>
  <si>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</si>
  <si>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</si>
  <si>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</si>
  <si>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</si>
  <si>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</si>
  <si>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</si>
  <si>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Row Labels</t>
  </si>
  <si>
    <t>Grand Total</t>
  </si>
  <si>
    <t>Sum of Confirmed</t>
  </si>
  <si>
    <t>VLOOKUP</t>
  </si>
  <si>
    <t>HLOOKUP</t>
  </si>
  <si>
    <t>Average of Recovery Rate (%)</t>
  </si>
  <si>
    <t>1. Which continent had the highest average recovery rate?</t>
  </si>
  <si>
    <t>Highest average recovery rate: Asia</t>
  </si>
  <si>
    <t>2. Which countries fall into the High Risk category based on your logic?</t>
  </si>
  <si>
    <t>5. What kind of visualization was most helpful to communicate critical data?</t>
  </si>
  <si>
    <t>Answer:</t>
  </si>
  <si>
    <r>
      <t>Pie Charts</t>
    </r>
    <r>
      <rPr>
        <sz val="11"/>
        <color theme="1"/>
        <rFont val="Calibri"/>
        <family val="2"/>
        <scheme val="minor"/>
      </rPr>
      <t xml:space="preserve"> → Great for showing distribution (e.g., continent-wise case share).</t>
    </r>
  </si>
  <si>
    <r>
      <t>Bar Charts</t>
    </r>
    <r>
      <rPr>
        <sz val="11"/>
        <color theme="1"/>
        <rFont val="Calibri"/>
        <family val="2"/>
        <scheme val="minor"/>
      </rPr>
      <t xml:space="preserve"> → Useful for comparing cases/recoveries/deaths by country.</t>
    </r>
  </si>
  <si>
    <r>
      <t>Line Charts</t>
    </r>
    <r>
      <rPr>
        <sz val="11"/>
        <color theme="1"/>
        <rFont val="Calibri"/>
        <family val="2"/>
        <scheme val="minor"/>
      </rPr>
      <t xml:space="preserve"> → Best for showing trends over time.</t>
    </r>
  </si>
  <si>
    <r>
      <t xml:space="preserve"> (Conditional Formatting in Excel)</t>
    </r>
    <r>
      <rPr>
        <sz val="11"/>
        <color theme="1"/>
        <rFont val="Calibri"/>
        <family val="2"/>
        <scheme val="minor"/>
      </rPr>
      <t xml:space="preserve"> → Instantly highlight high-risk countries.</t>
    </r>
  </si>
  <si>
    <t>Brainstorming answer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</si>
</sst>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1">
    <dxf>
      <fill>
        <patternFill patternType="solid">
          <fgColor rgb="FFFF9999"/>
          <b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Confirmed</a:t>
            </a:r>
            <a:r>
              <a:rPr lang="en-IN" baseline="0"/>
              <a:t> VS Recovered Cases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'Cleaned data'!$A$2:$A$11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  <c:pt idx="5">
                  <c:v>Mexico</c:v>
                </c:pt>
                <c:pt idx="6">
                  <c:v>Peru</c:v>
                </c:pt>
                <c:pt idx="7">
                  <c:v>Chile</c:v>
                </c:pt>
                <c:pt idx="8">
                  <c:v>United Kingdom</c:v>
                </c:pt>
                <c:pt idx="9">
                  <c:v>Iran</c:v>
                </c:pt>
              </c:strCache>
            </c:strRef>
          </c:cat>
          <c:val>
            <c:numRef>
              <c:f>'Cleaned data'!$B$2:$B$11</c:f>
              <c:numCache>
                <c:formatCode>General</c:formatCode>
                <c:ptCount val="10"/>
                <c:pt idx="0">
                  <c:v>4290259</c:v>
                </c:pt>
                <c:pt idx="1">
                  <c:v>2442375</c:v>
                </c:pt>
                <c:pt idx="2">
                  <c:v>1480073</c:v>
                </c:pt>
                <c:pt idx="3">
                  <c:v>816680</c:v>
                </c:pt>
                <c:pt idx="4">
                  <c:v>452529</c:v>
                </c:pt>
                <c:pt idx="5">
                  <c:v>395489</c:v>
                </c:pt>
                <c:pt idx="6">
                  <c:v>389717</c:v>
                </c:pt>
                <c:pt idx="7">
                  <c:v>347923</c:v>
                </c:pt>
                <c:pt idx="8">
                  <c:v>301708</c:v>
                </c:pt>
                <c:pt idx="9">
                  <c:v>293606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1-44BF-B913-5E380E3E0F68}"/>
            </c:ext>
          </c:extLst>
        </c:ser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'Cleaned data'!$A$2:$A$11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  <c:pt idx="5">
                  <c:v>Mexico</c:v>
                </c:pt>
                <c:pt idx="6">
                  <c:v>Peru</c:v>
                </c:pt>
                <c:pt idx="7">
                  <c:v>Chile</c:v>
                </c:pt>
                <c:pt idx="8">
                  <c:v>United Kingdom</c:v>
                </c:pt>
                <c:pt idx="9">
                  <c:v>Iran</c:v>
                </c:pt>
              </c:strCache>
            </c:strRef>
          </c:cat>
          <c:val>
            <c:numRef>
              <c:f>'Cleaned data'!$D$2:$D$11</c:f>
              <c:numCache>
                <c:formatCode>General</c:formatCode>
                <c:ptCount val="10"/>
                <c:pt idx="0">
                  <c:v>1325804</c:v>
                </c:pt>
                <c:pt idx="1">
                  <c:v>1846641</c:v>
                </c:pt>
                <c:pt idx="2">
                  <c:v>951166</c:v>
                </c:pt>
                <c:pt idx="3">
                  <c:v>602249</c:v>
                </c:pt>
                <c:pt idx="4">
                  <c:v>274925</c:v>
                </c:pt>
                <c:pt idx="5">
                  <c:v>303810</c:v>
                </c:pt>
                <c:pt idx="6">
                  <c:v>272547</c:v>
                </c:pt>
                <c:pt idx="7">
                  <c:v>319954</c:v>
                </c:pt>
                <c:pt idx="8">
                  <c:v>1437</c:v>
                </c:pt>
                <c:pt idx="9">
                  <c:v>255144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1-44BF-B913-5E380E3E0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4033552"/>
        <c:axId val="894032592"/>
        <c:axId val="0"/>
      </c:bar3DChart>
      <c:catAx>
        <c:axId val="89403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032592"/>
        <c:crosses val="autoZero"/>
        <c:auto val="1"/>
        <c:lblAlgn val="ctr"/>
        <c:lblOffset val="100"/>
        <c:noMultiLvlLbl val="0"/>
      </c:catAx>
      <c:valAx>
        <c:axId val="89403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03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Confirmed</a:t>
            </a:r>
            <a:r>
              <a:rPr lang="en-IN" baseline="0"/>
              <a:t> case VS Death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data'!$B$1</c:f>
              <c:strCache>
                <c:ptCount val="1"/>
                <c:pt idx="0">
                  <c:v>Confirmed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data'!$A$2:$A$190</c:f>
              <c:strCache>
                <c:ptCount val="187"/>
                <c:pt idx="0">
                  <c:v>US</c:v>
                </c:pt>
                <c:pt idx="1">
                  <c:v>Brazil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  <c:pt idx="5">
                  <c:v>Mexico</c:v>
                </c:pt>
                <c:pt idx="6">
                  <c:v>Peru</c:v>
                </c:pt>
                <c:pt idx="7">
                  <c:v>Chile</c:v>
                </c:pt>
                <c:pt idx="8">
                  <c:v>United Kingdom</c:v>
                </c:pt>
                <c:pt idx="9">
                  <c:v>Iran</c:v>
                </c:pt>
                <c:pt idx="10">
                  <c:v>Pakistan</c:v>
                </c:pt>
                <c:pt idx="11">
                  <c:v>Spain</c:v>
                </c:pt>
                <c:pt idx="12">
                  <c:v>Saudi Arabia</c:v>
                </c:pt>
                <c:pt idx="13">
                  <c:v>Colombia</c:v>
                </c:pt>
                <c:pt idx="14">
                  <c:v>Italy</c:v>
                </c:pt>
                <c:pt idx="15">
                  <c:v>Turkey</c:v>
                </c:pt>
                <c:pt idx="16">
                  <c:v>Bangladesh</c:v>
                </c:pt>
                <c:pt idx="17">
                  <c:v>France</c:v>
                </c:pt>
                <c:pt idx="18">
                  <c:v>Germany</c:v>
                </c:pt>
                <c:pt idx="19">
                  <c:v>Argentina</c:v>
                </c:pt>
                <c:pt idx="20">
                  <c:v>Canada</c:v>
                </c:pt>
                <c:pt idx="21">
                  <c:v>Iraq</c:v>
                </c:pt>
                <c:pt idx="22">
                  <c:v>Qatar</c:v>
                </c:pt>
                <c:pt idx="23">
                  <c:v>Indonesia</c:v>
                </c:pt>
                <c:pt idx="24">
                  <c:v>Egypt</c:v>
                </c:pt>
                <c:pt idx="25">
                  <c:v>China</c:v>
                </c:pt>
                <c:pt idx="26">
                  <c:v>Kazakhstan</c:v>
                </c:pt>
                <c:pt idx="27">
                  <c:v>Philippines</c:v>
                </c:pt>
                <c:pt idx="28">
                  <c:v>Ecuador</c:v>
                </c:pt>
                <c:pt idx="29">
                  <c:v>Sweden</c:v>
                </c:pt>
                <c:pt idx="30">
                  <c:v>Oman</c:v>
                </c:pt>
                <c:pt idx="31">
                  <c:v>Bolivia</c:v>
                </c:pt>
                <c:pt idx="32">
                  <c:v>Belarus</c:v>
                </c:pt>
                <c:pt idx="33">
                  <c:v>Ukraine</c:v>
                </c:pt>
                <c:pt idx="34">
                  <c:v>Belgium</c:v>
                </c:pt>
                <c:pt idx="35">
                  <c:v>Kuwait</c:v>
                </c:pt>
                <c:pt idx="36">
                  <c:v>Dominican Republic</c:v>
                </c:pt>
                <c:pt idx="37">
                  <c:v>Israel</c:v>
                </c:pt>
                <c:pt idx="38">
                  <c:v>Panama</c:v>
                </c:pt>
                <c:pt idx="39">
                  <c:v>United Arab Emirates</c:v>
                </c:pt>
                <c:pt idx="40">
                  <c:v>Netherlands</c:v>
                </c:pt>
                <c:pt idx="41">
                  <c:v>Singapore</c:v>
                </c:pt>
                <c:pt idx="42">
                  <c:v>Portugal</c:v>
                </c:pt>
                <c:pt idx="43">
                  <c:v>Romania</c:v>
                </c:pt>
                <c:pt idx="44">
                  <c:v>Guatemala</c:v>
                </c:pt>
                <c:pt idx="45">
                  <c:v>Poland</c:v>
                </c:pt>
                <c:pt idx="46">
                  <c:v>Nigeria</c:v>
                </c:pt>
                <c:pt idx="47">
                  <c:v>Honduras</c:v>
                </c:pt>
                <c:pt idx="48">
                  <c:v>Bahrain</c:v>
                </c:pt>
                <c:pt idx="49">
                  <c:v>Armenia</c:v>
                </c:pt>
                <c:pt idx="50">
                  <c:v>Afghanistan</c:v>
                </c:pt>
                <c:pt idx="51">
                  <c:v>Switzerland</c:v>
                </c:pt>
                <c:pt idx="52">
                  <c:v>Ghana</c:v>
                </c:pt>
                <c:pt idx="53">
                  <c:v>Kyrgyzstan</c:v>
                </c:pt>
                <c:pt idx="54">
                  <c:v>Japan</c:v>
                </c:pt>
                <c:pt idx="55">
                  <c:v>Azerbaijan</c:v>
                </c:pt>
                <c:pt idx="56">
                  <c:v>Algeria</c:v>
                </c:pt>
                <c:pt idx="57">
                  <c:v>Ireland</c:v>
                </c:pt>
                <c:pt idx="58">
                  <c:v>Serbia</c:v>
                </c:pt>
                <c:pt idx="59">
                  <c:v>Moldova</c:v>
                </c:pt>
                <c:pt idx="60">
                  <c:v>Uzbekistan</c:v>
                </c:pt>
                <c:pt idx="61">
                  <c:v>Morocco</c:v>
                </c:pt>
                <c:pt idx="62">
                  <c:v>Austria</c:v>
                </c:pt>
                <c:pt idx="63">
                  <c:v>Nepal</c:v>
                </c:pt>
                <c:pt idx="64">
                  <c:v>Kenya</c:v>
                </c:pt>
                <c:pt idx="65">
                  <c:v>Cameroon</c:v>
                </c:pt>
                <c:pt idx="66">
                  <c:v>Venezuela</c:v>
                </c:pt>
                <c:pt idx="67">
                  <c:v>Costa Rica</c:v>
                </c:pt>
                <c:pt idx="68">
                  <c:v>Cote d'Ivoire</c:v>
                </c:pt>
                <c:pt idx="69">
                  <c:v>Czechia</c:v>
                </c:pt>
                <c:pt idx="70">
                  <c:v>Australia</c:v>
                </c:pt>
                <c:pt idx="71">
                  <c:v>El Salvador</c:v>
                </c:pt>
                <c:pt idx="72">
                  <c:v>Ethiopia</c:v>
                </c:pt>
                <c:pt idx="73">
                  <c:v>South Korea</c:v>
                </c:pt>
                <c:pt idx="74">
                  <c:v>Denmark</c:v>
                </c:pt>
                <c:pt idx="75">
                  <c:v>Sudan</c:v>
                </c:pt>
                <c:pt idx="76">
                  <c:v>Bulgaria</c:v>
                </c:pt>
                <c:pt idx="77">
                  <c:v>West Bank and Gaza</c:v>
                </c:pt>
                <c:pt idx="78">
                  <c:v>Bosnia and Herzegovina</c:v>
                </c:pt>
                <c:pt idx="79">
                  <c:v>North Macedonia</c:v>
                </c:pt>
                <c:pt idx="80">
                  <c:v>Senegal</c:v>
                </c:pt>
                <c:pt idx="81">
                  <c:v>Madagascar</c:v>
                </c:pt>
                <c:pt idx="82">
                  <c:v>Norway</c:v>
                </c:pt>
                <c:pt idx="83">
                  <c:v>Malaysia</c:v>
                </c:pt>
                <c:pt idx="84">
                  <c:v>Congo (Kinshasa)</c:v>
                </c:pt>
                <c:pt idx="85">
                  <c:v>Kosovo</c:v>
                </c:pt>
                <c:pt idx="86">
                  <c:v>Finland</c:v>
                </c:pt>
                <c:pt idx="87">
                  <c:v>Haiti</c:v>
                </c:pt>
                <c:pt idx="88">
                  <c:v>Tajikistan</c:v>
                </c:pt>
                <c:pt idx="89">
                  <c:v>Gabon</c:v>
                </c:pt>
                <c:pt idx="90">
                  <c:v>Guinea</c:v>
                </c:pt>
                <c:pt idx="91">
                  <c:v>Luxembourg</c:v>
                </c:pt>
                <c:pt idx="92">
                  <c:v>Mauritania</c:v>
                </c:pt>
                <c:pt idx="93">
                  <c:v>Djibouti</c:v>
                </c:pt>
                <c:pt idx="94">
                  <c:v>Croatia</c:v>
                </c:pt>
                <c:pt idx="95">
                  <c:v>Albania</c:v>
                </c:pt>
                <c:pt idx="96">
                  <c:v>Central African Republic</c:v>
                </c:pt>
                <c:pt idx="97">
                  <c:v>Zambia</c:v>
                </c:pt>
                <c:pt idx="98">
                  <c:v>Paraguay</c:v>
                </c:pt>
                <c:pt idx="99">
                  <c:v>Hungary</c:v>
                </c:pt>
                <c:pt idx="100">
                  <c:v>Greece</c:v>
                </c:pt>
                <c:pt idx="101">
                  <c:v>Lebanon</c:v>
                </c:pt>
                <c:pt idx="102">
                  <c:v>Malawi</c:v>
                </c:pt>
                <c:pt idx="103">
                  <c:v>Nicaragua</c:v>
                </c:pt>
                <c:pt idx="104">
                  <c:v>Maldives</c:v>
                </c:pt>
                <c:pt idx="105">
                  <c:v>Thailand</c:v>
                </c:pt>
                <c:pt idx="106">
                  <c:v>Congo (Brazzaville)</c:v>
                </c:pt>
                <c:pt idx="107">
                  <c:v>Somalia</c:v>
                </c:pt>
                <c:pt idx="108">
                  <c:v>Equatorial Guinea</c:v>
                </c:pt>
                <c:pt idx="109">
                  <c:v>Montenegro</c:v>
                </c:pt>
                <c:pt idx="110">
                  <c:v>Libya</c:v>
                </c:pt>
                <c:pt idx="111">
                  <c:v>Sri Lanka</c:v>
                </c:pt>
                <c:pt idx="112">
                  <c:v>Zimbabwe</c:v>
                </c:pt>
                <c:pt idx="113">
                  <c:v>Cuba</c:v>
                </c:pt>
                <c:pt idx="114">
                  <c:v>Mali</c:v>
                </c:pt>
                <c:pt idx="115">
                  <c:v>Cabo Verde</c:v>
                </c:pt>
                <c:pt idx="116">
                  <c:v>Eswatini</c:v>
                </c:pt>
                <c:pt idx="117">
                  <c:v>South Sudan</c:v>
                </c:pt>
                <c:pt idx="118">
                  <c:v>Slovakia</c:v>
                </c:pt>
                <c:pt idx="119">
                  <c:v>Slovenia</c:v>
                </c:pt>
                <c:pt idx="120">
                  <c:v>Estonia</c:v>
                </c:pt>
                <c:pt idx="121">
                  <c:v>Lithuania</c:v>
                </c:pt>
                <c:pt idx="122">
                  <c:v>Guinea-Bissau</c:v>
                </c:pt>
                <c:pt idx="123">
                  <c:v>Rwanda</c:v>
                </c:pt>
                <c:pt idx="124">
                  <c:v>Iceland</c:v>
                </c:pt>
                <c:pt idx="125">
                  <c:v>Namibia</c:v>
                </c:pt>
                <c:pt idx="126">
                  <c:v>Sierra Leone</c:v>
                </c:pt>
                <c:pt idx="127">
                  <c:v>Benin</c:v>
                </c:pt>
                <c:pt idx="128">
                  <c:v>Mozambique</c:v>
                </c:pt>
                <c:pt idx="129">
                  <c:v>Yemen</c:v>
                </c:pt>
                <c:pt idx="130">
                  <c:v>New Zealand</c:v>
                </c:pt>
                <c:pt idx="131">
                  <c:v>Suriname</c:v>
                </c:pt>
                <c:pt idx="132">
                  <c:v>Tunisia</c:v>
                </c:pt>
                <c:pt idx="133">
                  <c:v>Latvia</c:v>
                </c:pt>
                <c:pt idx="134">
                  <c:v>Uruguay</c:v>
                </c:pt>
                <c:pt idx="135">
                  <c:v>Jordan</c:v>
                </c:pt>
                <c:pt idx="136">
                  <c:v>Liberia</c:v>
                </c:pt>
                <c:pt idx="137">
                  <c:v>Georgia</c:v>
                </c:pt>
                <c:pt idx="138">
                  <c:v>Niger</c:v>
                </c:pt>
                <c:pt idx="139">
                  <c:v>Uganda</c:v>
                </c:pt>
                <c:pt idx="140">
                  <c:v>Burkina Faso</c:v>
                </c:pt>
                <c:pt idx="141">
                  <c:v>Cyprus</c:v>
                </c:pt>
                <c:pt idx="142">
                  <c:v>Angola</c:v>
                </c:pt>
                <c:pt idx="143">
                  <c:v>Chad</c:v>
                </c:pt>
                <c:pt idx="144">
                  <c:v>Andorra</c:v>
                </c:pt>
                <c:pt idx="145">
                  <c:v>Togo</c:v>
                </c:pt>
                <c:pt idx="146">
                  <c:v>Sao Tome and Principe</c:v>
                </c:pt>
                <c:pt idx="147">
                  <c:v>Jamaica</c:v>
                </c:pt>
                <c:pt idx="148">
                  <c:v>Botswana</c:v>
                </c:pt>
                <c:pt idx="149">
                  <c:v>Malta</c:v>
                </c:pt>
                <c:pt idx="150">
                  <c:v>San Marino</c:v>
                </c:pt>
                <c:pt idx="151">
                  <c:v>Syria</c:v>
                </c:pt>
                <c:pt idx="152">
                  <c:v>Tanzania</c:v>
                </c:pt>
                <c:pt idx="153">
                  <c:v>Lesotho</c:v>
                </c:pt>
                <c:pt idx="154">
                  <c:v>Taiwan</c:v>
                </c:pt>
                <c:pt idx="155">
                  <c:v>Vietnam</c:v>
                </c:pt>
                <c:pt idx="156">
                  <c:v>Guyana</c:v>
                </c:pt>
                <c:pt idx="157">
                  <c:v>Bahamas</c:v>
                </c:pt>
                <c:pt idx="158">
                  <c:v>Burundi</c:v>
                </c:pt>
                <c:pt idx="159">
                  <c:v>Comoros</c:v>
                </c:pt>
                <c:pt idx="160">
                  <c:v>Myanmar</c:v>
                </c:pt>
                <c:pt idx="161">
                  <c:v>Mauritius</c:v>
                </c:pt>
                <c:pt idx="162">
                  <c:v>Gambia</c:v>
                </c:pt>
                <c:pt idx="163">
                  <c:v>Mongolia</c:v>
                </c:pt>
                <c:pt idx="164">
                  <c:v>Eritrea</c:v>
                </c:pt>
                <c:pt idx="165">
                  <c:v>Cambodia</c:v>
                </c:pt>
                <c:pt idx="166">
                  <c:v>Trinidad and Tobago</c:v>
                </c:pt>
                <c:pt idx="167">
                  <c:v>Brunei</c:v>
                </c:pt>
                <c:pt idx="168">
                  <c:v>Monaco</c:v>
                </c:pt>
                <c:pt idx="169">
                  <c:v>Seychelles</c:v>
                </c:pt>
                <c:pt idx="170">
                  <c:v>Barbados</c:v>
                </c:pt>
                <c:pt idx="171">
                  <c:v>Bhutan</c:v>
                </c:pt>
                <c:pt idx="172">
                  <c:v>Antigua and Barbuda</c:v>
                </c:pt>
                <c:pt idx="173">
                  <c:v>Liechtenstein</c:v>
                </c:pt>
                <c:pt idx="174">
                  <c:v>Papua New Guinea</c:v>
                </c:pt>
                <c:pt idx="175">
                  <c:v>Saint Vincent and the Grenadines</c:v>
                </c:pt>
                <c:pt idx="176">
                  <c:v>Belize</c:v>
                </c:pt>
                <c:pt idx="177">
                  <c:v>Fiji</c:v>
                </c:pt>
                <c:pt idx="178">
                  <c:v>Saint Lucia</c:v>
                </c:pt>
                <c:pt idx="179">
                  <c:v>Timor-Leste</c:v>
                </c:pt>
                <c:pt idx="180">
                  <c:v>Grenada</c:v>
                </c:pt>
                <c:pt idx="181">
                  <c:v>Laos</c:v>
                </c:pt>
                <c:pt idx="182">
                  <c:v>Dominica</c:v>
                </c:pt>
                <c:pt idx="183">
                  <c:v>Saint Kitts and Nevis</c:v>
                </c:pt>
                <c:pt idx="184">
                  <c:v>Greenland</c:v>
                </c:pt>
                <c:pt idx="185">
                  <c:v>Holy See</c:v>
                </c:pt>
                <c:pt idx="186">
                  <c:v>Western Sahara</c:v>
                </c:pt>
              </c:strCache>
            </c:strRef>
          </c:cat>
          <c:val>
            <c:numRef>
              <c:f>'Cleaned data'!$B$2:$B$190</c:f>
              <c:numCache>
                <c:formatCode>General</c:formatCode>
                <c:ptCount val="189"/>
                <c:pt idx="0">
                  <c:v>4290259</c:v>
                </c:pt>
                <c:pt idx="1">
                  <c:v>2442375</c:v>
                </c:pt>
                <c:pt idx="2">
                  <c:v>1480073</c:v>
                </c:pt>
                <c:pt idx="3">
                  <c:v>816680</c:v>
                </c:pt>
                <c:pt idx="4">
                  <c:v>452529</c:v>
                </c:pt>
                <c:pt idx="5">
                  <c:v>395489</c:v>
                </c:pt>
                <c:pt idx="6">
                  <c:v>389717</c:v>
                </c:pt>
                <c:pt idx="7">
                  <c:v>347923</c:v>
                </c:pt>
                <c:pt idx="8">
                  <c:v>301708</c:v>
                </c:pt>
                <c:pt idx="9">
                  <c:v>293606</c:v>
                </c:pt>
                <c:pt idx="10">
                  <c:v>274289</c:v>
                </c:pt>
                <c:pt idx="11">
                  <c:v>272421</c:v>
                </c:pt>
                <c:pt idx="12">
                  <c:v>268934</c:v>
                </c:pt>
                <c:pt idx="13">
                  <c:v>257101</c:v>
                </c:pt>
                <c:pt idx="14">
                  <c:v>246286</c:v>
                </c:pt>
                <c:pt idx="15">
                  <c:v>227019</c:v>
                </c:pt>
                <c:pt idx="16">
                  <c:v>226225</c:v>
                </c:pt>
                <c:pt idx="17">
                  <c:v>220352</c:v>
                </c:pt>
                <c:pt idx="18">
                  <c:v>207112</c:v>
                </c:pt>
                <c:pt idx="19">
                  <c:v>167416</c:v>
                </c:pt>
                <c:pt idx="20">
                  <c:v>116458</c:v>
                </c:pt>
                <c:pt idx="21">
                  <c:v>112585</c:v>
                </c:pt>
                <c:pt idx="22">
                  <c:v>109597</c:v>
                </c:pt>
                <c:pt idx="23">
                  <c:v>100303</c:v>
                </c:pt>
                <c:pt idx="24">
                  <c:v>92482</c:v>
                </c:pt>
                <c:pt idx="25">
                  <c:v>86783</c:v>
                </c:pt>
                <c:pt idx="26">
                  <c:v>84648</c:v>
                </c:pt>
                <c:pt idx="27">
                  <c:v>82040</c:v>
                </c:pt>
                <c:pt idx="28">
                  <c:v>81161</c:v>
                </c:pt>
                <c:pt idx="29">
                  <c:v>79395</c:v>
                </c:pt>
                <c:pt idx="30">
                  <c:v>77058</c:v>
                </c:pt>
                <c:pt idx="31">
                  <c:v>71181</c:v>
                </c:pt>
                <c:pt idx="32">
                  <c:v>67251</c:v>
                </c:pt>
                <c:pt idx="33">
                  <c:v>67096</c:v>
                </c:pt>
                <c:pt idx="34">
                  <c:v>66428</c:v>
                </c:pt>
                <c:pt idx="35">
                  <c:v>64379</c:v>
                </c:pt>
                <c:pt idx="36">
                  <c:v>64156</c:v>
                </c:pt>
                <c:pt idx="37">
                  <c:v>63985</c:v>
                </c:pt>
                <c:pt idx="38">
                  <c:v>61442</c:v>
                </c:pt>
                <c:pt idx="39">
                  <c:v>59177</c:v>
                </c:pt>
                <c:pt idx="40">
                  <c:v>53413</c:v>
                </c:pt>
                <c:pt idx="41">
                  <c:v>50838</c:v>
                </c:pt>
                <c:pt idx="42">
                  <c:v>50299</c:v>
                </c:pt>
                <c:pt idx="43">
                  <c:v>45902</c:v>
                </c:pt>
                <c:pt idx="44">
                  <c:v>45309</c:v>
                </c:pt>
                <c:pt idx="45">
                  <c:v>43402</c:v>
                </c:pt>
                <c:pt idx="46">
                  <c:v>41180</c:v>
                </c:pt>
                <c:pt idx="47">
                  <c:v>39741</c:v>
                </c:pt>
                <c:pt idx="48">
                  <c:v>39482</c:v>
                </c:pt>
                <c:pt idx="49">
                  <c:v>37390</c:v>
                </c:pt>
                <c:pt idx="50">
                  <c:v>36263</c:v>
                </c:pt>
                <c:pt idx="51">
                  <c:v>34477</c:v>
                </c:pt>
                <c:pt idx="52">
                  <c:v>33624</c:v>
                </c:pt>
                <c:pt idx="53">
                  <c:v>33296</c:v>
                </c:pt>
                <c:pt idx="54">
                  <c:v>31142</c:v>
                </c:pt>
                <c:pt idx="55">
                  <c:v>30446</c:v>
                </c:pt>
                <c:pt idx="56">
                  <c:v>27973</c:v>
                </c:pt>
                <c:pt idx="57">
                  <c:v>25892</c:v>
                </c:pt>
                <c:pt idx="58">
                  <c:v>24141</c:v>
                </c:pt>
                <c:pt idx="59">
                  <c:v>23154</c:v>
                </c:pt>
                <c:pt idx="60">
                  <c:v>21209</c:v>
                </c:pt>
                <c:pt idx="61">
                  <c:v>20887</c:v>
                </c:pt>
                <c:pt idx="62">
                  <c:v>20558</c:v>
                </c:pt>
                <c:pt idx="63">
                  <c:v>18752</c:v>
                </c:pt>
                <c:pt idx="64">
                  <c:v>17975</c:v>
                </c:pt>
                <c:pt idx="65">
                  <c:v>17110</c:v>
                </c:pt>
                <c:pt idx="66">
                  <c:v>15988</c:v>
                </c:pt>
                <c:pt idx="67">
                  <c:v>15841</c:v>
                </c:pt>
                <c:pt idx="68">
                  <c:v>15655</c:v>
                </c:pt>
                <c:pt idx="69">
                  <c:v>15516</c:v>
                </c:pt>
                <c:pt idx="70">
                  <c:v>15303</c:v>
                </c:pt>
                <c:pt idx="71">
                  <c:v>15035</c:v>
                </c:pt>
                <c:pt idx="72">
                  <c:v>14547</c:v>
                </c:pt>
                <c:pt idx="73">
                  <c:v>14203</c:v>
                </c:pt>
                <c:pt idx="74">
                  <c:v>13761</c:v>
                </c:pt>
                <c:pt idx="75">
                  <c:v>11424</c:v>
                </c:pt>
                <c:pt idx="76">
                  <c:v>10621</c:v>
                </c:pt>
                <c:pt idx="77">
                  <c:v>10621</c:v>
                </c:pt>
                <c:pt idx="78">
                  <c:v>10498</c:v>
                </c:pt>
                <c:pt idx="79">
                  <c:v>10213</c:v>
                </c:pt>
                <c:pt idx="80">
                  <c:v>9764</c:v>
                </c:pt>
                <c:pt idx="81">
                  <c:v>9690</c:v>
                </c:pt>
                <c:pt idx="82">
                  <c:v>9132</c:v>
                </c:pt>
                <c:pt idx="83">
                  <c:v>8904</c:v>
                </c:pt>
                <c:pt idx="84">
                  <c:v>8844</c:v>
                </c:pt>
                <c:pt idx="85">
                  <c:v>7413</c:v>
                </c:pt>
                <c:pt idx="86">
                  <c:v>7398</c:v>
                </c:pt>
                <c:pt idx="87">
                  <c:v>7340</c:v>
                </c:pt>
                <c:pt idx="88">
                  <c:v>7235</c:v>
                </c:pt>
                <c:pt idx="89">
                  <c:v>7189</c:v>
                </c:pt>
                <c:pt idx="90">
                  <c:v>7055</c:v>
                </c:pt>
                <c:pt idx="91">
                  <c:v>6321</c:v>
                </c:pt>
                <c:pt idx="92">
                  <c:v>6208</c:v>
                </c:pt>
                <c:pt idx="93">
                  <c:v>5059</c:v>
                </c:pt>
                <c:pt idx="94">
                  <c:v>4881</c:v>
                </c:pt>
                <c:pt idx="95">
                  <c:v>4880</c:v>
                </c:pt>
                <c:pt idx="96">
                  <c:v>4599</c:v>
                </c:pt>
                <c:pt idx="97">
                  <c:v>4552</c:v>
                </c:pt>
                <c:pt idx="98">
                  <c:v>4548</c:v>
                </c:pt>
                <c:pt idx="99">
                  <c:v>4448</c:v>
                </c:pt>
                <c:pt idx="100">
                  <c:v>4227</c:v>
                </c:pt>
                <c:pt idx="101">
                  <c:v>3882</c:v>
                </c:pt>
                <c:pt idx="102">
                  <c:v>3664</c:v>
                </c:pt>
                <c:pt idx="103">
                  <c:v>3439</c:v>
                </c:pt>
                <c:pt idx="104">
                  <c:v>3369</c:v>
                </c:pt>
                <c:pt idx="105">
                  <c:v>3297</c:v>
                </c:pt>
                <c:pt idx="106">
                  <c:v>3200</c:v>
                </c:pt>
                <c:pt idx="107">
                  <c:v>3196</c:v>
                </c:pt>
                <c:pt idx="108">
                  <c:v>3071</c:v>
                </c:pt>
                <c:pt idx="109">
                  <c:v>2893</c:v>
                </c:pt>
                <c:pt idx="110">
                  <c:v>2827</c:v>
                </c:pt>
                <c:pt idx="111">
                  <c:v>2805</c:v>
                </c:pt>
                <c:pt idx="112">
                  <c:v>2704</c:v>
                </c:pt>
                <c:pt idx="113">
                  <c:v>2532</c:v>
                </c:pt>
                <c:pt idx="114">
                  <c:v>2513</c:v>
                </c:pt>
                <c:pt idx="115">
                  <c:v>2328</c:v>
                </c:pt>
                <c:pt idx="116">
                  <c:v>2316</c:v>
                </c:pt>
                <c:pt idx="117">
                  <c:v>2305</c:v>
                </c:pt>
                <c:pt idx="118">
                  <c:v>2181</c:v>
                </c:pt>
                <c:pt idx="119">
                  <c:v>2087</c:v>
                </c:pt>
                <c:pt idx="120">
                  <c:v>2034</c:v>
                </c:pt>
                <c:pt idx="121">
                  <c:v>2019</c:v>
                </c:pt>
                <c:pt idx="122">
                  <c:v>1954</c:v>
                </c:pt>
                <c:pt idx="123">
                  <c:v>1879</c:v>
                </c:pt>
                <c:pt idx="124">
                  <c:v>1854</c:v>
                </c:pt>
                <c:pt idx="125">
                  <c:v>1843</c:v>
                </c:pt>
                <c:pt idx="126">
                  <c:v>1783</c:v>
                </c:pt>
                <c:pt idx="127">
                  <c:v>1770</c:v>
                </c:pt>
                <c:pt idx="128">
                  <c:v>1701</c:v>
                </c:pt>
                <c:pt idx="129">
                  <c:v>1691</c:v>
                </c:pt>
                <c:pt idx="130">
                  <c:v>1557</c:v>
                </c:pt>
                <c:pt idx="131">
                  <c:v>1483</c:v>
                </c:pt>
                <c:pt idx="132">
                  <c:v>1455</c:v>
                </c:pt>
                <c:pt idx="133">
                  <c:v>1219</c:v>
                </c:pt>
                <c:pt idx="134">
                  <c:v>1202</c:v>
                </c:pt>
                <c:pt idx="135">
                  <c:v>1176</c:v>
                </c:pt>
                <c:pt idx="136">
                  <c:v>1167</c:v>
                </c:pt>
                <c:pt idx="137">
                  <c:v>1137</c:v>
                </c:pt>
                <c:pt idx="138">
                  <c:v>1132</c:v>
                </c:pt>
                <c:pt idx="139">
                  <c:v>1128</c:v>
                </c:pt>
                <c:pt idx="140">
                  <c:v>1100</c:v>
                </c:pt>
                <c:pt idx="141">
                  <c:v>1060</c:v>
                </c:pt>
                <c:pt idx="142">
                  <c:v>950</c:v>
                </c:pt>
                <c:pt idx="143">
                  <c:v>922</c:v>
                </c:pt>
                <c:pt idx="144">
                  <c:v>907</c:v>
                </c:pt>
                <c:pt idx="145">
                  <c:v>874</c:v>
                </c:pt>
                <c:pt idx="146">
                  <c:v>865</c:v>
                </c:pt>
                <c:pt idx="147">
                  <c:v>853</c:v>
                </c:pt>
                <c:pt idx="148">
                  <c:v>739</c:v>
                </c:pt>
                <c:pt idx="149">
                  <c:v>701</c:v>
                </c:pt>
                <c:pt idx="150">
                  <c:v>699</c:v>
                </c:pt>
                <c:pt idx="151">
                  <c:v>674</c:v>
                </c:pt>
                <c:pt idx="152">
                  <c:v>509</c:v>
                </c:pt>
                <c:pt idx="153">
                  <c:v>505</c:v>
                </c:pt>
                <c:pt idx="154">
                  <c:v>462</c:v>
                </c:pt>
                <c:pt idx="155">
                  <c:v>431</c:v>
                </c:pt>
                <c:pt idx="156">
                  <c:v>389</c:v>
                </c:pt>
                <c:pt idx="157">
                  <c:v>382</c:v>
                </c:pt>
                <c:pt idx="158">
                  <c:v>378</c:v>
                </c:pt>
                <c:pt idx="159">
                  <c:v>354</c:v>
                </c:pt>
                <c:pt idx="160">
                  <c:v>350</c:v>
                </c:pt>
                <c:pt idx="161">
                  <c:v>344</c:v>
                </c:pt>
                <c:pt idx="162">
                  <c:v>326</c:v>
                </c:pt>
                <c:pt idx="163">
                  <c:v>289</c:v>
                </c:pt>
                <c:pt idx="164">
                  <c:v>265</c:v>
                </c:pt>
                <c:pt idx="165">
                  <c:v>226</c:v>
                </c:pt>
                <c:pt idx="166">
                  <c:v>148</c:v>
                </c:pt>
                <c:pt idx="167">
                  <c:v>141</c:v>
                </c:pt>
                <c:pt idx="168">
                  <c:v>116</c:v>
                </c:pt>
                <c:pt idx="169">
                  <c:v>114</c:v>
                </c:pt>
                <c:pt idx="170">
                  <c:v>110</c:v>
                </c:pt>
                <c:pt idx="171">
                  <c:v>99</c:v>
                </c:pt>
                <c:pt idx="172">
                  <c:v>86</c:v>
                </c:pt>
                <c:pt idx="173">
                  <c:v>86</c:v>
                </c:pt>
                <c:pt idx="174">
                  <c:v>62</c:v>
                </c:pt>
                <c:pt idx="175">
                  <c:v>52</c:v>
                </c:pt>
                <c:pt idx="176">
                  <c:v>48</c:v>
                </c:pt>
                <c:pt idx="177">
                  <c:v>27</c:v>
                </c:pt>
                <c:pt idx="178">
                  <c:v>24</c:v>
                </c:pt>
                <c:pt idx="179">
                  <c:v>24</c:v>
                </c:pt>
                <c:pt idx="180">
                  <c:v>23</c:v>
                </c:pt>
                <c:pt idx="181">
                  <c:v>20</c:v>
                </c:pt>
                <c:pt idx="182">
                  <c:v>18</c:v>
                </c:pt>
                <c:pt idx="183">
                  <c:v>17</c:v>
                </c:pt>
                <c:pt idx="184">
                  <c:v>14</c:v>
                </c:pt>
                <c:pt idx="185">
                  <c:v>12</c:v>
                </c:pt>
                <c:pt idx="18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D-4DE2-97C9-3CCF445BB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7414640"/>
        <c:axId val="887417520"/>
      </c:barChart>
      <c:lineChart>
        <c:grouping val="standard"/>
        <c:varyColors val="0"/>
        <c:ser>
          <c:idx val="1"/>
          <c:order val="1"/>
          <c:tx>
            <c:strRef>
              <c:f>'Cleaned data'!$I$1</c:f>
              <c:strCache>
                <c:ptCount val="1"/>
                <c:pt idx="0">
                  <c:v>Death Rate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'Cleaned data'!$A$2:$A$190</c:f>
              <c:strCache>
                <c:ptCount val="187"/>
                <c:pt idx="0">
                  <c:v>US</c:v>
                </c:pt>
                <c:pt idx="1">
                  <c:v>Brazil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  <c:pt idx="5">
                  <c:v>Mexico</c:v>
                </c:pt>
                <c:pt idx="6">
                  <c:v>Peru</c:v>
                </c:pt>
                <c:pt idx="7">
                  <c:v>Chile</c:v>
                </c:pt>
                <c:pt idx="8">
                  <c:v>United Kingdom</c:v>
                </c:pt>
                <c:pt idx="9">
                  <c:v>Iran</c:v>
                </c:pt>
                <c:pt idx="10">
                  <c:v>Pakistan</c:v>
                </c:pt>
                <c:pt idx="11">
                  <c:v>Spain</c:v>
                </c:pt>
                <c:pt idx="12">
                  <c:v>Saudi Arabia</c:v>
                </c:pt>
                <c:pt idx="13">
                  <c:v>Colombia</c:v>
                </c:pt>
                <c:pt idx="14">
                  <c:v>Italy</c:v>
                </c:pt>
                <c:pt idx="15">
                  <c:v>Turkey</c:v>
                </c:pt>
                <c:pt idx="16">
                  <c:v>Bangladesh</c:v>
                </c:pt>
                <c:pt idx="17">
                  <c:v>France</c:v>
                </c:pt>
                <c:pt idx="18">
                  <c:v>Germany</c:v>
                </c:pt>
                <c:pt idx="19">
                  <c:v>Argentina</c:v>
                </c:pt>
                <c:pt idx="20">
                  <c:v>Canada</c:v>
                </c:pt>
                <c:pt idx="21">
                  <c:v>Iraq</c:v>
                </c:pt>
                <c:pt idx="22">
                  <c:v>Qatar</c:v>
                </c:pt>
                <c:pt idx="23">
                  <c:v>Indonesia</c:v>
                </c:pt>
                <c:pt idx="24">
                  <c:v>Egypt</c:v>
                </c:pt>
                <c:pt idx="25">
                  <c:v>China</c:v>
                </c:pt>
                <c:pt idx="26">
                  <c:v>Kazakhstan</c:v>
                </c:pt>
                <c:pt idx="27">
                  <c:v>Philippines</c:v>
                </c:pt>
                <c:pt idx="28">
                  <c:v>Ecuador</c:v>
                </c:pt>
                <c:pt idx="29">
                  <c:v>Sweden</c:v>
                </c:pt>
                <c:pt idx="30">
                  <c:v>Oman</c:v>
                </c:pt>
                <c:pt idx="31">
                  <c:v>Bolivia</c:v>
                </c:pt>
                <c:pt idx="32">
                  <c:v>Belarus</c:v>
                </c:pt>
                <c:pt idx="33">
                  <c:v>Ukraine</c:v>
                </c:pt>
                <c:pt idx="34">
                  <c:v>Belgium</c:v>
                </c:pt>
                <c:pt idx="35">
                  <c:v>Kuwait</c:v>
                </c:pt>
                <c:pt idx="36">
                  <c:v>Dominican Republic</c:v>
                </c:pt>
                <c:pt idx="37">
                  <c:v>Israel</c:v>
                </c:pt>
                <c:pt idx="38">
                  <c:v>Panama</c:v>
                </c:pt>
                <c:pt idx="39">
                  <c:v>United Arab Emirates</c:v>
                </c:pt>
                <c:pt idx="40">
                  <c:v>Netherlands</c:v>
                </c:pt>
                <c:pt idx="41">
                  <c:v>Singapore</c:v>
                </c:pt>
                <c:pt idx="42">
                  <c:v>Portugal</c:v>
                </c:pt>
                <c:pt idx="43">
                  <c:v>Romania</c:v>
                </c:pt>
                <c:pt idx="44">
                  <c:v>Guatemala</c:v>
                </c:pt>
                <c:pt idx="45">
                  <c:v>Poland</c:v>
                </c:pt>
                <c:pt idx="46">
                  <c:v>Nigeria</c:v>
                </c:pt>
                <c:pt idx="47">
                  <c:v>Honduras</c:v>
                </c:pt>
                <c:pt idx="48">
                  <c:v>Bahrain</c:v>
                </c:pt>
                <c:pt idx="49">
                  <c:v>Armenia</c:v>
                </c:pt>
                <c:pt idx="50">
                  <c:v>Afghanistan</c:v>
                </c:pt>
                <c:pt idx="51">
                  <c:v>Switzerland</c:v>
                </c:pt>
                <c:pt idx="52">
                  <c:v>Ghana</c:v>
                </c:pt>
                <c:pt idx="53">
                  <c:v>Kyrgyzstan</c:v>
                </c:pt>
                <c:pt idx="54">
                  <c:v>Japan</c:v>
                </c:pt>
                <c:pt idx="55">
                  <c:v>Azerbaijan</c:v>
                </c:pt>
                <c:pt idx="56">
                  <c:v>Algeria</c:v>
                </c:pt>
                <c:pt idx="57">
                  <c:v>Ireland</c:v>
                </c:pt>
                <c:pt idx="58">
                  <c:v>Serbia</c:v>
                </c:pt>
                <c:pt idx="59">
                  <c:v>Moldova</c:v>
                </c:pt>
                <c:pt idx="60">
                  <c:v>Uzbekistan</c:v>
                </c:pt>
                <c:pt idx="61">
                  <c:v>Morocco</c:v>
                </c:pt>
                <c:pt idx="62">
                  <c:v>Austria</c:v>
                </c:pt>
                <c:pt idx="63">
                  <c:v>Nepal</c:v>
                </c:pt>
                <c:pt idx="64">
                  <c:v>Kenya</c:v>
                </c:pt>
                <c:pt idx="65">
                  <c:v>Cameroon</c:v>
                </c:pt>
                <c:pt idx="66">
                  <c:v>Venezuela</c:v>
                </c:pt>
                <c:pt idx="67">
                  <c:v>Costa Rica</c:v>
                </c:pt>
                <c:pt idx="68">
                  <c:v>Cote d'Ivoire</c:v>
                </c:pt>
                <c:pt idx="69">
                  <c:v>Czechia</c:v>
                </c:pt>
                <c:pt idx="70">
                  <c:v>Australia</c:v>
                </c:pt>
                <c:pt idx="71">
                  <c:v>El Salvador</c:v>
                </c:pt>
                <c:pt idx="72">
                  <c:v>Ethiopia</c:v>
                </c:pt>
                <c:pt idx="73">
                  <c:v>South Korea</c:v>
                </c:pt>
                <c:pt idx="74">
                  <c:v>Denmark</c:v>
                </c:pt>
                <c:pt idx="75">
                  <c:v>Sudan</c:v>
                </c:pt>
                <c:pt idx="76">
                  <c:v>Bulgaria</c:v>
                </c:pt>
                <c:pt idx="77">
                  <c:v>West Bank and Gaza</c:v>
                </c:pt>
                <c:pt idx="78">
                  <c:v>Bosnia and Herzegovina</c:v>
                </c:pt>
                <c:pt idx="79">
                  <c:v>North Macedonia</c:v>
                </c:pt>
                <c:pt idx="80">
                  <c:v>Senegal</c:v>
                </c:pt>
                <c:pt idx="81">
                  <c:v>Madagascar</c:v>
                </c:pt>
                <c:pt idx="82">
                  <c:v>Norway</c:v>
                </c:pt>
                <c:pt idx="83">
                  <c:v>Malaysia</c:v>
                </c:pt>
                <c:pt idx="84">
                  <c:v>Congo (Kinshasa)</c:v>
                </c:pt>
                <c:pt idx="85">
                  <c:v>Kosovo</c:v>
                </c:pt>
                <c:pt idx="86">
                  <c:v>Finland</c:v>
                </c:pt>
                <c:pt idx="87">
                  <c:v>Haiti</c:v>
                </c:pt>
                <c:pt idx="88">
                  <c:v>Tajikistan</c:v>
                </c:pt>
                <c:pt idx="89">
                  <c:v>Gabon</c:v>
                </c:pt>
                <c:pt idx="90">
                  <c:v>Guinea</c:v>
                </c:pt>
                <c:pt idx="91">
                  <c:v>Luxembourg</c:v>
                </c:pt>
                <c:pt idx="92">
                  <c:v>Mauritania</c:v>
                </c:pt>
                <c:pt idx="93">
                  <c:v>Djibouti</c:v>
                </c:pt>
                <c:pt idx="94">
                  <c:v>Croatia</c:v>
                </c:pt>
                <c:pt idx="95">
                  <c:v>Albania</c:v>
                </c:pt>
                <c:pt idx="96">
                  <c:v>Central African Republic</c:v>
                </c:pt>
                <c:pt idx="97">
                  <c:v>Zambia</c:v>
                </c:pt>
                <c:pt idx="98">
                  <c:v>Paraguay</c:v>
                </c:pt>
                <c:pt idx="99">
                  <c:v>Hungary</c:v>
                </c:pt>
                <c:pt idx="100">
                  <c:v>Greece</c:v>
                </c:pt>
                <c:pt idx="101">
                  <c:v>Lebanon</c:v>
                </c:pt>
                <c:pt idx="102">
                  <c:v>Malawi</c:v>
                </c:pt>
                <c:pt idx="103">
                  <c:v>Nicaragua</c:v>
                </c:pt>
                <c:pt idx="104">
                  <c:v>Maldives</c:v>
                </c:pt>
                <c:pt idx="105">
                  <c:v>Thailand</c:v>
                </c:pt>
                <c:pt idx="106">
                  <c:v>Congo (Brazzaville)</c:v>
                </c:pt>
                <c:pt idx="107">
                  <c:v>Somalia</c:v>
                </c:pt>
                <c:pt idx="108">
                  <c:v>Equatorial Guinea</c:v>
                </c:pt>
                <c:pt idx="109">
                  <c:v>Montenegro</c:v>
                </c:pt>
                <c:pt idx="110">
                  <c:v>Libya</c:v>
                </c:pt>
                <c:pt idx="111">
                  <c:v>Sri Lanka</c:v>
                </c:pt>
                <c:pt idx="112">
                  <c:v>Zimbabwe</c:v>
                </c:pt>
                <c:pt idx="113">
                  <c:v>Cuba</c:v>
                </c:pt>
                <c:pt idx="114">
                  <c:v>Mali</c:v>
                </c:pt>
                <c:pt idx="115">
                  <c:v>Cabo Verde</c:v>
                </c:pt>
                <c:pt idx="116">
                  <c:v>Eswatini</c:v>
                </c:pt>
                <c:pt idx="117">
                  <c:v>South Sudan</c:v>
                </c:pt>
                <c:pt idx="118">
                  <c:v>Slovakia</c:v>
                </c:pt>
                <c:pt idx="119">
                  <c:v>Slovenia</c:v>
                </c:pt>
                <c:pt idx="120">
                  <c:v>Estonia</c:v>
                </c:pt>
                <c:pt idx="121">
                  <c:v>Lithuania</c:v>
                </c:pt>
                <c:pt idx="122">
                  <c:v>Guinea-Bissau</c:v>
                </c:pt>
                <c:pt idx="123">
                  <c:v>Rwanda</c:v>
                </c:pt>
                <c:pt idx="124">
                  <c:v>Iceland</c:v>
                </c:pt>
                <c:pt idx="125">
                  <c:v>Namibia</c:v>
                </c:pt>
                <c:pt idx="126">
                  <c:v>Sierra Leone</c:v>
                </c:pt>
                <c:pt idx="127">
                  <c:v>Benin</c:v>
                </c:pt>
                <c:pt idx="128">
                  <c:v>Mozambique</c:v>
                </c:pt>
                <c:pt idx="129">
                  <c:v>Yemen</c:v>
                </c:pt>
                <c:pt idx="130">
                  <c:v>New Zealand</c:v>
                </c:pt>
                <c:pt idx="131">
                  <c:v>Suriname</c:v>
                </c:pt>
                <c:pt idx="132">
                  <c:v>Tunisia</c:v>
                </c:pt>
                <c:pt idx="133">
                  <c:v>Latvia</c:v>
                </c:pt>
                <c:pt idx="134">
                  <c:v>Uruguay</c:v>
                </c:pt>
                <c:pt idx="135">
                  <c:v>Jordan</c:v>
                </c:pt>
                <c:pt idx="136">
                  <c:v>Liberia</c:v>
                </c:pt>
                <c:pt idx="137">
                  <c:v>Georgia</c:v>
                </c:pt>
                <c:pt idx="138">
                  <c:v>Niger</c:v>
                </c:pt>
                <c:pt idx="139">
                  <c:v>Uganda</c:v>
                </c:pt>
                <c:pt idx="140">
                  <c:v>Burkina Faso</c:v>
                </c:pt>
                <c:pt idx="141">
                  <c:v>Cyprus</c:v>
                </c:pt>
                <c:pt idx="142">
                  <c:v>Angola</c:v>
                </c:pt>
                <c:pt idx="143">
                  <c:v>Chad</c:v>
                </c:pt>
                <c:pt idx="144">
                  <c:v>Andorra</c:v>
                </c:pt>
                <c:pt idx="145">
                  <c:v>Togo</c:v>
                </c:pt>
                <c:pt idx="146">
                  <c:v>Sao Tome and Principe</c:v>
                </c:pt>
                <c:pt idx="147">
                  <c:v>Jamaica</c:v>
                </c:pt>
                <c:pt idx="148">
                  <c:v>Botswana</c:v>
                </c:pt>
                <c:pt idx="149">
                  <c:v>Malta</c:v>
                </c:pt>
                <c:pt idx="150">
                  <c:v>San Marino</c:v>
                </c:pt>
                <c:pt idx="151">
                  <c:v>Syria</c:v>
                </c:pt>
                <c:pt idx="152">
                  <c:v>Tanzania</c:v>
                </c:pt>
                <c:pt idx="153">
                  <c:v>Lesotho</c:v>
                </c:pt>
                <c:pt idx="154">
                  <c:v>Taiwan</c:v>
                </c:pt>
                <c:pt idx="155">
                  <c:v>Vietnam</c:v>
                </c:pt>
                <c:pt idx="156">
                  <c:v>Guyana</c:v>
                </c:pt>
                <c:pt idx="157">
                  <c:v>Bahamas</c:v>
                </c:pt>
                <c:pt idx="158">
                  <c:v>Burundi</c:v>
                </c:pt>
                <c:pt idx="159">
                  <c:v>Comoros</c:v>
                </c:pt>
                <c:pt idx="160">
                  <c:v>Myanmar</c:v>
                </c:pt>
                <c:pt idx="161">
                  <c:v>Mauritius</c:v>
                </c:pt>
                <c:pt idx="162">
                  <c:v>Gambia</c:v>
                </c:pt>
                <c:pt idx="163">
                  <c:v>Mongolia</c:v>
                </c:pt>
                <c:pt idx="164">
                  <c:v>Eritrea</c:v>
                </c:pt>
                <c:pt idx="165">
                  <c:v>Cambodia</c:v>
                </c:pt>
                <c:pt idx="166">
                  <c:v>Trinidad and Tobago</c:v>
                </c:pt>
                <c:pt idx="167">
                  <c:v>Brunei</c:v>
                </c:pt>
                <c:pt idx="168">
                  <c:v>Monaco</c:v>
                </c:pt>
                <c:pt idx="169">
                  <c:v>Seychelles</c:v>
                </c:pt>
                <c:pt idx="170">
                  <c:v>Barbados</c:v>
                </c:pt>
                <c:pt idx="171">
                  <c:v>Bhutan</c:v>
                </c:pt>
                <c:pt idx="172">
                  <c:v>Antigua and Barbuda</c:v>
                </c:pt>
                <c:pt idx="173">
                  <c:v>Liechtenstein</c:v>
                </c:pt>
                <c:pt idx="174">
                  <c:v>Papua New Guinea</c:v>
                </c:pt>
                <c:pt idx="175">
                  <c:v>Saint Vincent and the Grenadines</c:v>
                </c:pt>
                <c:pt idx="176">
                  <c:v>Belize</c:v>
                </c:pt>
                <c:pt idx="177">
                  <c:v>Fiji</c:v>
                </c:pt>
                <c:pt idx="178">
                  <c:v>Saint Lucia</c:v>
                </c:pt>
                <c:pt idx="179">
                  <c:v>Timor-Leste</c:v>
                </c:pt>
                <c:pt idx="180">
                  <c:v>Grenada</c:v>
                </c:pt>
                <c:pt idx="181">
                  <c:v>Laos</c:v>
                </c:pt>
                <c:pt idx="182">
                  <c:v>Dominica</c:v>
                </c:pt>
                <c:pt idx="183">
                  <c:v>Saint Kitts and Nevis</c:v>
                </c:pt>
                <c:pt idx="184">
                  <c:v>Greenland</c:v>
                </c:pt>
                <c:pt idx="185">
                  <c:v>Holy See</c:v>
                </c:pt>
                <c:pt idx="186">
                  <c:v>Western Sahara</c:v>
                </c:pt>
              </c:strCache>
            </c:strRef>
          </c:cat>
          <c:val>
            <c:numRef>
              <c:f>'Cleaned data'!$I$2:$I$190</c:f>
              <c:numCache>
                <c:formatCode>0.00%</c:formatCode>
                <c:ptCount val="189"/>
                <c:pt idx="0">
                  <c:v>3.4499315775574385E-2</c:v>
                </c:pt>
                <c:pt idx="1">
                  <c:v>3.5874097957930291E-2</c:v>
                </c:pt>
                <c:pt idx="2">
                  <c:v>2.2571859631247918E-2</c:v>
                </c:pt>
                <c:pt idx="3">
                  <c:v>1.6327080374197972E-2</c:v>
                </c:pt>
                <c:pt idx="4">
                  <c:v>1.5616678710093718E-2</c:v>
                </c:pt>
                <c:pt idx="5">
                  <c:v>0.11131030193001576</c:v>
                </c:pt>
                <c:pt idx="6">
                  <c:v>4.7259934773181564E-2</c:v>
                </c:pt>
                <c:pt idx="7">
                  <c:v>2.6405267832250241E-2</c:v>
                </c:pt>
                <c:pt idx="8">
                  <c:v>0.15194824134593712</c:v>
                </c:pt>
                <c:pt idx="9">
                  <c:v>5.4195077757266542E-2</c:v>
                </c:pt>
                <c:pt idx="10">
                  <c:v>2.1298703192618004E-2</c:v>
                </c:pt>
                <c:pt idx="11">
                  <c:v>0.10436787178668311</c:v>
                </c:pt>
                <c:pt idx="12">
                  <c:v>1.0262741044271086E-2</c:v>
                </c:pt>
                <c:pt idx="13">
                  <c:v>3.4138334740043796E-2</c:v>
                </c:pt>
                <c:pt idx="14">
                  <c:v>0.14256595990027854</c:v>
                </c:pt>
                <c:pt idx="15">
                  <c:v>2.4799686369863315E-2</c:v>
                </c:pt>
                <c:pt idx="16">
                  <c:v>1.3106420598961211E-2</c:v>
                </c:pt>
                <c:pt idx="17">
                  <c:v>0.13710790008713331</c:v>
                </c:pt>
                <c:pt idx="18">
                  <c:v>4.4058287303487965E-2</c:v>
                </c:pt>
                <c:pt idx="19">
                  <c:v>1.8271849763463469E-2</c:v>
                </c:pt>
                <c:pt idx="20">
                  <c:v>7.6800219821738305E-2</c:v>
                </c:pt>
                <c:pt idx="21">
                  <c:v>3.9596749122884932E-2</c:v>
                </c:pt>
                <c:pt idx="22">
                  <c:v>1.5055156619250528E-3</c:v>
                </c:pt>
                <c:pt idx="23">
                  <c:v>4.8233851430166598E-2</c:v>
                </c:pt>
                <c:pt idx="24">
                  <c:v>5.0301680326982547E-2</c:v>
                </c:pt>
                <c:pt idx="25">
                  <c:v>5.365106069161011E-2</c:v>
                </c:pt>
                <c:pt idx="26">
                  <c:v>6.9109724978735467E-3</c:v>
                </c:pt>
                <c:pt idx="27">
                  <c:v>2.370794734275963E-2</c:v>
                </c:pt>
                <c:pt idx="28">
                  <c:v>6.8160816155542689E-2</c:v>
                </c:pt>
                <c:pt idx="29">
                  <c:v>7.1792934063857922E-2</c:v>
                </c:pt>
                <c:pt idx="30">
                  <c:v>5.1000545043992833E-3</c:v>
                </c:pt>
                <c:pt idx="31">
                  <c:v>3.7186889759907839E-2</c:v>
                </c:pt>
                <c:pt idx="32">
                  <c:v>7.9998810426610764E-3</c:v>
                </c:pt>
                <c:pt idx="33">
                  <c:v>2.4382973649695959E-2</c:v>
                </c:pt>
                <c:pt idx="34">
                  <c:v>0.14785933642439936</c:v>
                </c:pt>
                <c:pt idx="35">
                  <c:v>6.8034607558365304E-3</c:v>
                </c:pt>
                <c:pt idx="36">
                  <c:v>1.688072822495168E-2</c:v>
                </c:pt>
                <c:pt idx="37">
                  <c:v>7.407986246776588E-3</c:v>
                </c:pt>
                <c:pt idx="38">
                  <c:v>2.1516226685329255E-2</c:v>
                </c:pt>
                <c:pt idx="39">
                  <c:v>5.8299677239468037E-3</c:v>
                </c:pt>
                <c:pt idx="40">
                  <c:v>0.11532772920450078</c:v>
                </c:pt>
                <c:pt idx="41">
                  <c:v>5.3109878437389356E-4</c:v>
                </c:pt>
                <c:pt idx="42">
                  <c:v>3.4175629734189548E-2</c:v>
                </c:pt>
                <c:pt idx="43">
                  <c:v>4.805890810857915E-2</c:v>
                </c:pt>
                <c:pt idx="44">
                  <c:v>3.8866450374097861E-2</c:v>
                </c:pt>
                <c:pt idx="45">
                  <c:v>3.8615731993917331E-2</c:v>
                </c:pt>
                <c:pt idx="46">
                  <c:v>2.0883924235065566E-2</c:v>
                </c:pt>
                <c:pt idx="47">
                  <c:v>2.9339976346845827E-2</c:v>
                </c:pt>
                <c:pt idx="48">
                  <c:v>3.5712476571602247E-3</c:v>
                </c:pt>
                <c:pt idx="49">
                  <c:v>1.901577962021931E-2</c:v>
                </c:pt>
                <c:pt idx="50">
                  <c:v>3.4994346854920991E-2</c:v>
                </c:pt>
                <c:pt idx="51">
                  <c:v>5.7371581054036024E-2</c:v>
                </c:pt>
                <c:pt idx="52">
                  <c:v>4.9964311206281229E-3</c:v>
                </c:pt>
                <c:pt idx="53">
                  <c:v>3.9073762614127823E-2</c:v>
                </c:pt>
                <c:pt idx="54">
                  <c:v>3.2046753580373774E-2</c:v>
                </c:pt>
                <c:pt idx="55">
                  <c:v>1.389345069959929E-2</c:v>
                </c:pt>
                <c:pt idx="56">
                  <c:v>4.1575805240767885E-2</c:v>
                </c:pt>
                <c:pt idx="57">
                  <c:v>6.8129151861578863E-2</c:v>
                </c:pt>
                <c:pt idx="58">
                  <c:v>2.2492854479930408E-2</c:v>
                </c:pt>
                <c:pt idx="59">
                  <c:v>3.2305433186490456E-2</c:v>
                </c:pt>
                <c:pt idx="60">
                  <c:v>5.7051251827054551E-3</c:v>
                </c:pt>
                <c:pt idx="61">
                  <c:v>1.5129027624838417E-2</c:v>
                </c:pt>
                <c:pt idx="62">
                  <c:v>3.4682362097480303E-2</c:v>
                </c:pt>
                <c:pt idx="63">
                  <c:v>2.5597269624573378E-3</c:v>
                </c:pt>
                <c:pt idx="64">
                  <c:v>1.5855354659248956E-2</c:v>
                </c:pt>
                <c:pt idx="65">
                  <c:v>2.2852133255406196E-2</c:v>
                </c:pt>
                <c:pt idx="66">
                  <c:v>9.1318488866649981E-3</c:v>
                </c:pt>
                <c:pt idx="67">
                  <c:v>7.2596426993245377E-3</c:v>
                </c:pt>
                <c:pt idx="68">
                  <c:v>6.1322261258383902E-3</c:v>
                </c:pt>
                <c:pt idx="69">
                  <c:v>2.4039700953854087E-2</c:v>
                </c:pt>
                <c:pt idx="70">
                  <c:v>1.0912892896817617E-2</c:v>
                </c:pt>
                <c:pt idx="71">
                  <c:v>2.7136681077485868E-2</c:v>
                </c:pt>
                <c:pt idx="72">
                  <c:v>1.5673334708187256E-2</c:v>
                </c:pt>
                <c:pt idx="73">
                  <c:v>2.1122298106033936E-2</c:v>
                </c:pt>
                <c:pt idx="74">
                  <c:v>4.454618123682872E-2</c:v>
                </c:pt>
                <c:pt idx="75">
                  <c:v>6.3025210084033612E-2</c:v>
                </c:pt>
                <c:pt idx="76">
                  <c:v>3.2671123246398641E-2</c:v>
                </c:pt>
                <c:pt idx="77">
                  <c:v>7.3439412484700125E-3</c:v>
                </c:pt>
                <c:pt idx="78">
                  <c:v>2.8005334349399887E-2</c:v>
                </c:pt>
                <c:pt idx="79">
                  <c:v>4.5628121022226575E-2</c:v>
                </c:pt>
                <c:pt idx="80">
                  <c:v>1.9868906185989348E-2</c:v>
                </c:pt>
                <c:pt idx="81">
                  <c:v>9.3911248710010324E-3</c:v>
                </c:pt>
                <c:pt idx="82">
                  <c:v>2.7923784494086726E-2</c:v>
                </c:pt>
                <c:pt idx="83">
                  <c:v>1.3926325247079964E-2</c:v>
                </c:pt>
                <c:pt idx="84">
                  <c:v>2.3518769787426504E-2</c:v>
                </c:pt>
                <c:pt idx="85">
                  <c:v>2.4956158100634021E-2</c:v>
                </c:pt>
                <c:pt idx="86">
                  <c:v>4.4471478778048121E-2</c:v>
                </c:pt>
                <c:pt idx="87">
                  <c:v>2.1525885558583105E-2</c:v>
                </c:pt>
                <c:pt idx="88">
                  <c:v>8.2930200414651004E-3</c:v>
                </c:pt>
                <c:pt idx="89">
                  <c:v>6.815968841285297E-3</c:v>
                </c:pt>
                <c:pt idx="90">
                  <c:v>6.3784549964564135E-3</c:v>
                </c:pt>
                <c:pt idx="91">
                  <c:v>1.7718715393133997E-2</c:v>
                </c:pt>
                <c:pt idx="92">
                  <c:v>2.5128865979381444E-2</c:v>
                </c:pt>
                <c:pt idx="93">
                  <c:v>1.1464716347104172E-2</c:v>
                </c:pt>
                <c:pt idx="94">
                  <c:v>2.8477770948576113E-2</c:v>
                </c:pt>
                <c:pt idx="95">
                  <c:v>2.9508196721311476E-2</c:v>
                </c:pt>
                <c:pt idx="96">
                  <c:v>1.2828875842574472E-2</c:v>
                </c:pt>
                <c:pt idx="97">
                  <c:v>3.0755711775043937E-2</c:v>
                </c:pt>
                <c:pt idx="98">
                  <c:v>9.4547053649956022E-3</c:v>
                </c:pt>
                <c:pt idx="99">
                  <c:v>0.13399280575539568</c:v>
                </c:pt>
                <c:pt idx="100">
                  <c:v>4.7788029335225926E-2</c:v>
                </c:pt>
                <c:pt idx="101">
                  <c:v>1.3137557959814529E-2</c:v>
                </c:pt>
                <c:pt idx="102">
                  <c:v>2.7019650655021835E-2</c:v>
                </c:pt>
                <c:pt idx="103">
                  <c:v>3.1404478045943589E-2</c:v>
                </c:pt>
                <c:pt idx="104">
                  <c:v>4.4523597506678537E-3</c:v>
                </c:pt>
                <c:pt idx="105">
                  <c:v>1.7591750075826508E-2</c:v>
                </c:pt>
                <c:pt idx="106">
                  <c:v>1.6875000000000001E-2</c:v>
                </c:pt>
                <c:pt idx="107">
                  <c:v>2.9098873591989989E-2</c:v>
                </c:pt>
                <c:pt idx="108">
                  <c:v>1.6606968414197329E-2</c:v>
                </c:pt>
                <c:pt idx="109">
                  <c:v>1.5554787417905289E-2</c:v>
                </c:pt>
                <c:pt idx="110">
                  <c:v>2.2638839759462327E-2</c:v>
                </c:pt>
                <c:pt idx="111">
                  <c:v>3.9215686274509803E-3</c:v>
                </c:pt>
                <c:pt idx="112">
                  <c:v>1.3313609467455622E-2</c:v>
                </c:pt>
                <c:pt idx="113">
                  <c:v>3.4360189573459717E-2</c:v>
                </c:pt>
                <c:pt idx="114">
                  <c:v>4.9343414245921209E-2</c:v>
                </c:pt>
                <c:pt idx="115">
                  <c:v>9.4501718213058413E-3</c:v>
                </c:pt>
                <c:pt idx="116">
                  <c:v>1.468048359240069E-2</c:v>
                </c:pt>
                <c:pt idx="117">
                  <c:v>1.9956616052060738E-2</c:v>
                </c:pt>
                <c:pt idx="118">
                  <c:v>1.2838147638697846E-2</c:v>
                </c:pt>
                <c:pt idx="119">
                  <c:v>5.558217537134643E-2</c:v>
                </c:pt>
                <c:pt idx="120">
                  <c:v>3.3923303834808259E-2</c:v>
                </c:pt>
                <c:pt idx="121">
                  <c:v>3.9623576027736501E-2</c:v>
                </c:pt>
                <c:pt idx="122">
                  <c:v>1.3306038894575231E-2</c:v>
                </c:pt>
                <c:pt idx="123">
                  <c:v>2.6609898882384245E-3</c:v>
                </c:pt>
                <c:pt idx="124">
                  <c:v>5.3937432578209281E-3</c:v>
                </c:pt>
                <c:pt idx="125">
                  <c:v>4.3407487791644059E-3</c:v>
                </c:pt>
                <c:pt idx="126">
                  <c:v>3.7016264722378012E-2</c:v>
                </c:pt>
                <c:pt idx="127">
                  <c:v>1.977401129943503E-2</c:v>
                </c:pt>
                <c:pt idx="128">
                  <c:v>6.4667842445620223E-3</c:v>
                </c:pt>
                <c:pt idx="129">
                  <c:v>0.28562980484920164</c:v>
                </c:pt>
                <c:pt idx="130">
                  <c:v>1.4129736673089274E-2</c:v>
                </c:pt>
                <c:pt idx="131">
                  <c:v>1.6183412002697236E-2</c:v>
                </c:pt>
                <c:pt idx="132">
                  <c:v>3.4364261168384883E-2</c:v>
                </c:pt>
                <c:pt idx="133">
                  <c:v>2.5430680885972109E-2</c:v>
                </c:pt>
                <c:pt idx="134">
                  <c:v>2.9118136439267885E-2</c:v>
                </c:pt>
                <c:pt idx="135">
                  <c:v>9.3537414965986394E-3</c:v>
                </c:pt>
                <c:pt idx="136">
                  <c:v>6.1696658097686374E-2</c:v>
                </c:pt>
                <c:pt idx="137">
                  <c:v>1.4072119613016711E-2</c:v>
                </c:pt>
                <c:pt idx="138">
                  <c:v>6.0954063604240286E-2</c:v>
                </c:pt>
                <c:pt idx="139">
                  <c:v>1.7730496453900709E-3</c:v>
                </c:pt>
                <c:pt idx="140">
                  <c:v>4.818181818181818E-2</c:v>
                </c:pt>
                <c:pt idx="141">
                  <c:v>1.7924528301886792E-2</c:v>
                </c:pt>
                <c:pt idx="142">
                  <c:v>4.3157894736842103E-2</c:v>
                </c:pt>
                <c:pt idx="143">
                  <c:v>8.1344902386117135E-2</c:v>
                </c:pt>
                <c:pt idx="144">
                  <c:v>5.7331863285556783E-2</c:v>
                </c:pt>
                <c:pt idx="145">
                  <c:v>2.0594965675057208E-2</c:v>
                </c:pt>
                <c:pt idx="146">
                  <c:v>1.6184971098265895E-2</c:v>
                </c:pt>
                <c:pt idx="147">
                  <c:v>1.1723329425556858E-2</c:v>
                </c:pt>
                <c:pt idx="148">
                  <c:v>2.7063599458728013E-3</c:v>
                </c:pt>
                <c:pt idx="149">
                  <c:v>1.2838801711840228E-2</c:v>
                </c:pt>
                <c:pt idx="150">
                  <c:v>6.0085836909871244E-2</c:v>
                </c:pt>
                <c:pt idx="151">
                  <c:v>5.9347181008902079E-2</c:v>
                </c:pt>
                <c:pt idx="152">
                  <c:v>4.1257367387033402E-2</c:v>
                </c:pt>
                <c:pt idx="153">
                  <c:v>2.3762376237623763E-2</c:v>
                </c:pt>
                <c:pt idx="154">
                  <c:v>1.5151515151515152E-2</c:v>
                </c:pt>
                <c:pt idx="155">
                  <c:v>0</c:v>
                </c:pt>
                <c:pt idx="156">
                  <c:v>5.1413881748071981E-2</c:v>
                </c:pt>
                <c:pt idx="157">
                  <c:v>2.8795811518324606E-2</c:v>
                </c:pt>
                <c:pt idx="158">
                  <c:v>2.6455026455026454E-3</c:v>
                </c:pt>
                <c:pt idx="159">
                  <c:v>1.977401129943503E-2</c:v>
                </c:pt>
                <c:pt idx="160">
                  <c:v>1.7142857142857144E-2</c:v>
                </c:pt>
                <c:pt idx="161">
                  <c:v>2.9069767441860465E-2</c:v>
                </c:pt>
                <c:pt idx="162">
                  <c:v>2.4539877300613498E-2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5.4054054054054057E-2</c:v>
                </c:pt>
                <c:pt idx="167">
                  <c:v>2.1276595744680851E-2</c:v>
                </c:pt>
                <c:pt idx="168">
                  <c:v>3.4482758620689655E-2</c:v>
                </c:pt>
                <c:pt idx="169">
                  <c:v>0</c:v>
                </c:pt>
                <c:pt idx="170">
                  <c:v>6.363636363636363E-2</c:v>
                </c:pt>
                <c:pt idx="171">
                  <c:v>0</c:v>
                </c:pt>
                <c:pt idx="172">
                  <c:v>3.4883720930232558E-2</c:v>
                </c:pt>
                <c:pt idx="173">
                  <c:v>1.1627906976744186E-2</c:v>
                </c:pt>
                <c:pt idx="174">
                  <c:v>0</c:v>
                </c:pt>
                <c:pt idx="175">
                  <c:v>0</c:v>
                </c:pt>
                <c:pt idx="176">
                  <c:v>4.1666666666666664E-2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5D-4DE2-97C9-3CCF445BB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3938496"/>
        <c:axId val="1133942336"/>
      </c:lineChart>
      <c:catAx>
        <c:axId val="88741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417520"/>
        <c:crosses val="autoZero"/>
        <c:auto val="1"/>
        <c:lblAlgn val="ctr"/>
        <c:lblOffset val="100"/>
        <c:noMultiLvlLbl val="0"/>
      </c:catAx>
      <c:valAx>
        <c:axId val="88741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414640"/>
        <c:crosses val="autoZero"/>
        <c:crossBetween val="between"/>
      </c:valAx>
      <c:valAx>
        <c:axId val="11339423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938496"/>
        <c:crosses val="max"/>
        <c:crossBetween val="between"/>
      </c:valAx>
      <c:catAx>
        <c:axId val="1133938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39423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[COVID19_Analysis_Formatted.xlsx]Pivot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Continent</a:t>
            </a:r>
            <a:r>
              <a:rPr lang="en-IN" baseline="0"/>
              <a:t> wise COVID-19 case distribution</a:t>
            </a:r>
            <a:endParaRPr lang="en-IN"/>
          </a:p>
        </c:rich>
      </c:tx>
      <c:layout>
        <c:manualLayout>
          <c:xMode val="edge"/>
          <c:yMode val="edge"/>
          <c:x val="2.0555555555555613E-3"/>
          <c:y val="0.90638670166229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947320</c:v>
                </c:pt>
                <c:pt idx="1">
                  <c:v>3946274</c:v>
                </c:pt>
                <c:pt idx="2">
                  <c:v>16949</c:v>
                </c:pt>
                <c:pt idx="3">
                  <c:v>2792084</c:v>
                </c:pt>
                <c:pt idx="4">
                  <c:v>4997374</c:v>
                </c:pt>
                <c:pt idx="5">
                  <c:v>3780484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C-4DDD-8B1E-2F0EF780D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6166096"/>
        <c:axId val="1076166576"/>
      </c:barChart>
      <c:catAx>
        <c:axId val="107616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166576"/>
        <c:crosses val="autoZero"/>
        <c:auto val="1"/>
        <c:lblAlgn val="ctr"/>
        <c:lblOffset val="100"/>
        <c:noMultiLvlLbl val="0"/>
      </c:catAx>
      <c:valAx>
        <c:axId val="107616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16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[COVID19_Analysis_Formatted.xlsx]Pivot table!PivotTable1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947320</c:v>
                </c:pt>
                <c:pt idx="1">
                  <c:v>3946274</c:v>
                </c:pt>
                <c:pt idx="2">
                  <c:v>16949</c:v>
                </c:pt>
                <c:pt idx="3">
                  <c:v>2792084</c:v>
                </c:pt>
                <c:pt idx="4">
                  <c:v>4997374</c:v>
                </c:pt>
                <c:pt idx="5">
                  <c:v>3780484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F-412B-8FF9-8B8ED9AA0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[COVID19_Analysis_Formatted.xlsx]Brainstorming answer 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'Brainstorming answer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'Brainstorming answer 1'!$A$4:$A$10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'Brainstorming answer 1'!$B$4:$B$10</c:f>
              <c:numCache>
                <c:formatCode>0.00%</c:formatCode>
                <c:ptCount val="6"/>
                <c:pt idx="0">
                  <c:v>0.57911964724294851</c:v>
                </c:pt>
                <c:pt idx="1">
                  <c:v>0.71909286212483592</c:v>
                </c:pt>
                <c:pt idx="2">
                  <c:v>0.60622789947817179</c:v>
                </c:pt>
                <c:pt idx="3">
                  <c:v>0.67558647969861008</c:v>
                </c:pt>
                <c:pt idx="4">
                  <c:v>0.6507568698684647</c:v>
                </c:pt>
                <c:pt idx="5">
                  <c:v>0.599354487411487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7-4652-9EC7-210EC0863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618368"/>
        <c:axId val="967615488"/>
      </c:barChart>
      <c:catAx>
        <c:axId val="96761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15488"/>
        <c:crosses val="autoZero"/>
        <c:auto val="1"/>
        <c:lblAlgn val="ctr"/>
        <c:lblOffset val="100"/>
        <c:noMultiLvlLbl val="0"/>
      </c:catAx>
      <c:valAx>
        <c:axId val="96761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1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175260</xdr:colOff>
      <xdr:row>2</xdr:row>
      <xdr:rowOff>3810</xdr:rowOff>
    </xdr:from>
    <xdr:to>
      <xdr:col>22</xdr:col>
      <xdr:colOff>480060</xdr:colOff>
      <xdr:row>17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544259-97CD-CC4E-150B-7C8F3DB88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289560</xdr:colOff>
      <xdr:row>19</xdr:row>
      <xdr:rowOff>26670</xdr:rowOff>
    </xdr:from>
    <xdr:to>
      <xdr:col>22</xdr:col>
      <xdr:colOff>594360</xdr:colOff>
      <xdr:row>34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37E6DA-DE6F-A769-A1D0-317215376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17</xdr:row>
      <xdr:rowOff>171450</xdr:rowOff>
    </xdr:from>
    <xdr:to>
      <xdr:col>14</xdr:col>
      <xdr:colOff>259080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67170-CA51-B19F-3672-659D1DF42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525780</xdr:colOff>
      <xdr:row>2</xdr:row>
      <xdr:rowOff>26670</xdr:rowOff>
    </xdr:from>
    <xdr:to>
      <xdr:col>14</xdr:col>
      <xdr:colOff>220980</xdr:colOff>
      <xdr:row>17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DBD0F4-50B3-2006-A8FB-95F5E233B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3</xdr:row>
      <xdr:rowOff>125730</xdr:rowOff>
    </xdr:from>
    <xdr:to>
      <xdr:col>13</xdr:col>
      <xdr:colOff>373380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3CA20-221B-9DEA-8B09-7921FCC4F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sha" refreshedDate="45879.804378009256" createdVersion="8" refreshedVersion="8" minRefreshableVersion="3" recordCount="187" xr:uid="{59204B44-7D7F-41A8-A5E9-6A617C411263}">
  <cacheSource type="worksheet">
    <worksheetSource ref="A1:L188" sheet="Cleaned data"/>
  </cacheSource>
  <cacheFields count="12">
    <cacheField name="Country/Region" numFmtId="0">
      <sharedItems/>
    </cacheField>
    <cacheField name="Confirmed" numFmtId="0">
      <sharedItems containsSemiMixedTypes="0" containsString="0" containsNumber="1" containsInteger="1" minValue="10" maxValue="4290259"/>
    </cacheField>
    <cacheField name="Deaths" numFmtId="0">
      <sharedItems containsSemiMixedTypes="0" containsString="0" containsNumber="1" containsInteger="1" minValue="0" maxValue="148011"/>
    </cacheField>
    <cacheField name="Recovered" numFmtId="0">
      <sharedItems containsSemiMixedTypes="0" containsString="0" containsNumber="1" containsInteger="1" minValue="0" maxValue="1846641"/>
    </cacheField>
    <cacheField name="Active" numFmtId="0">
      <sharedItems containsSemiMixedTypes="0" containsString="0" containsNumber="1" containsInteger="1" minValue="0" maxValue="2816444"/>
    </cacheField>
    <cacheField name="Population" numFmtId="0">
      <sharedItems containsString="0" containsBlank="1" containsNumber="1" containsInteger="1" minValue="528" maxValue="1411778724"/>
    </cacheField>
    <cacheField name="Continent" numFmtId="0">
      <sharedItems count="6">
        <s v="North America"/>
        <s v="South America"/>
        <s v="Asia"/>
        <s v="Europe"/>
        <s v="Africa"/>
        <s v="Australia/Oceania"/>
      </sharedItems>
    </cacheField>
    <cacheField name="Date of First Case" numFmtId="164">
      <sharedItems containsSemiMixedTypes="0" containsNonDate="0" containsDate="1" containsString="0" minDate="2019-11-17T00:00:00" maxDate="2020-05-14T00:00:00"/>
    </cacheField>
    <cacheField name="Death Rate (%)" numFmtId="10">
      <sharedItems containsSemiMixedTypes="0" containsString="0" containsNumber="1" minValue="0" maxValue="0.28562980484920164"/>
    </cacheField>
    <cacheField name="Recovery Rate (%)" numFmtId="10">
      <sharedItems containsSemiMixedTypes="0" containsString="0" containsNumber="1" minValue="0" maxValue="1"/>
    </cacheField>
    <cacheField name="Infection Rate (%)" numFmtId="10">
      <sharedItems containsSemiMixedTypes="0" containsString="0" containsNumber="1" minValue="0" maxValue="3.9032981278970584E-2"/>
    </cacheField>
    <cacheField name="Risk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s v="US"/>
    <n v="4290259"/>
    <n v="148011"/>
    <n v="1325804"/>
    <n v="2816444"/>
    <n v="331198130"/>
    <x v="0"/>
    <d v="2020-01-21T00:00:00"/>
    <n v="3.4499315775574385E-2"/>
    <n v="0.30902656459668287"/>
    <n v="1.2953753694201112E-2"/>
    <s v="Moderate Risk"/>
  </r>
  <r>
    <s v="Brazil"/>
    <n v="2442375"/>
    <n v="87618"/>
    <n v="1846641"/>
    <n v="508116"/>
    <n v="212710692"/>
    <x v="1"/>
    <d v="2020-02-26T00:00:00"/>
    <n v="3.5874097957930291E-2"/>
    <n v="0.75608413941348074"/>
    <n v="1.1482144959596107E-2"/>
    <s v="Moderate Risk"/>
  </r>
  <r>
    <s v="India"/>
    <n v="1480073"/>
    <n v="33408"/>
    <n v="951166"/>
    <n v="495499"/>
    <n v="1381344997"/>
    <x v="2"/>
    <d v="2020-01-30T00:00:00"/>
    <n v="2.2571859631247918E-2"/>
    <n v="0.64264803154979522"/>
    <n v="1.0714723716482247E-3"/>
    <s v="Moderate Risk"/>
  </r>
  <r>
    <s v="Russia"/>
    <n v="816680"/>
    <n v="13334"/>
    <n v="602249"/>
    <n v="201097"/>
    <n v="145940924"/>
    <x v="3"/>
    <d v="2020-01-31T00:00:00"/>
    <n v="1.6327080374197972E-2"/>
    <n v="0.73743571533525987"/>
    <n v="5.5959629253820543E-3"/>
    <s v="Low Risk"/>
  </r>
  <r>
    <s v="South Africa"/>
    <n v="452529"/>
    <n v="7067"/>
    <n v="274925"/>
    <n v="170537"/>
    <n v="59381566"/>
    <x v="4"/>
    <d v="2020-03-05T00:00:00"/>
    <n v="1.5616678710093718E-2"/>
    <n v="0.60753012514115112"/>
    <n v="7.6206983157028904E-3"/>
    <s v="Low Risk"/>
  </r>
  <r>
    <s v="Mexico"/>
    <n v="395489"/>
    <n v="44022"/>
    <n v="303810"/>
    <n v="47657"/>
    <n v="129066160"/>
    <x v="0"/>
    <d v="2020-02-28T00:00:00"/>
    <n v="0.11131030193001576"/>
    <n v="0.7681882429094109"/>
    <n v="3.0642346529872739E-3"/>
    <s v="High Risk"/>
  </r>
  <r>
    <s v="Peru"/>
    <n v="389717"/>
    <n v="18418"/>
    <n v="272547"/>
    <n v="98752"/>
    <n v="33016319"/>
    <x v="1"/>
    <d v="2020-03-06T00:00:00"/>
    <n v="4.7259934773181564E-2"/>
    <n v="0.69934593564047753"/>
    <n v="1.180376891803111E-2"/>
    <s v="Moderate Risk"/>
  </r>
  <r>
    <s v="Chile"/>
    <n v="347923"/>
    <n v="9187"/>
    <n v="319954"/>
    <n v="18782"/>
    <n v="19132514"/>
    <x v="1"/>
    <d v="2020-03-03T00:00:00"/>
    <n v="2.6405267832250241E-2"/>
    <n v="0.91961152323933748"/>
    <n v="1.8184907639424697E-2"/>
    <s v="Moderate Risk"/>
  </r>
  <r>
    <s v="United Kingdom"/>
    <n v="301708"/>
    <n v="45844"/>
    <n v="1437"/>
    <n v="254427"/>
    <n v="67922029"/>
    <x v="3"/>
    <d v="2020-01-31T00:00:00"/>
    <n v="0.15194824134593712"/>
    <n v="4.7628833176448756E-3"/>
    <n v="4.4419756659507328E-3"/>
    <s v="High Risk"/>
  </r>
  <r>
    <s v="Iran"/>
    <n v="293606"/>
    <n v="15912"/>
    <n v="255144"/>
    <n v="22550"/>
    <n v="84097623"/>
    <x v="2"/>
    <d v="2020-02-19T00:00:00"/>
    <n v="5.4195077757266542E-2"/>
    <n v="0.86900131468702957"/>
    <n v="3.4912520654715772E-3"/>
    <s v="High Risk"/>
  </r>
  <r>
    <s v="Pakistan"/>
    <n v="274289"/>
    <n v="5842"/>
    <n v="241026"/>
    <n v="27421"/>
    <n v="221295851"/>
    <x v="2"/>
    <d v="2020-02-26T00:00:00"/>
    <n v="2.1298703192618004E-2"/>
    <n v="0.8787300985456945"/>
    <n v="1.2394674313166406E-3"/>
    <s v="Moderate Risk"/>
  </r>
  <r>
    <s v="Spain"/>
    <n v="272421"/>
    <n v="28432"/>
    <n v="150376"/>
    <n v="93613"/>
    <n v="46756648"/>
    <x v="3"/>
    <d v="2020-01-31T00:00:00"/>
    <n v="0.10436787178668311"/>
    <n v="0.55199856105072664"/>
    <n v="5.8263586388827534E-3"/>
    <s v="High Risk"/>
  </r>
  <r>
    <s v="Saudi Arabia"/>
    <n v="268934"/>
    <n v="2760"/>
    <n v="222936"/>
    <n v="43238"/>
    <n v="34865919"/>
    <x v="2"/>
    <d v="2020-03-02T00:00:00"/>
    <n v="1.0262741044271086E-2"/>
    <n v="0.8289617526976879"/>
    <n v="7.7133776396371484E-3"/>
    <s v="Low Risk"/>
  </r>
  <r>
    <s v="Colombia"/>
    <n v="257101"/>
    <n v="8777"/>
    <n v="131161"/>
    <n v="117163"/>
    <n v="50936262"/>
    <x v="1"/>
    <d v="2020-03-06T00:00:00"/>
    <n v="3.4138334740043796E-2"/>
    <n v="0.51015359722443709"/>
    <n v="5.0475042711222119E-3"/>
    <s v="Moderate Risk"/>
  </r>
  <r>
    <s v="Italy"/>
    <n v="246286"/>
    <n v="35112"/>
    <n v="198593"/>
    <n v="12581"/>
    <n v="60452568"/>
    <x v="3"/>
    <d v="2020-01-31T00:00:00"/>
    <n v="0.14256595990027854"/>
    <n v="0.80635115272488078"/>
    <n v="4.0740370202304726E-3"/>
    <s v="High Risk"/>
  </r>
  <r>
    <s v="Turkey"/>
    <n v="227019"/>
    <n v="5630"/>
    <n v="210469"/>
    <n v="10920"/>
    <n v="84428331"/>
    <x v="2"/>
    <d v="2020-03-11T00:00:00"/>
    <n v="2.4799686369863315E-2"/>
    <n v="0.92709861289143203"/>
    <n v="2.6888959820844972E-3"/>
    <s v="Moderate Risk"/>
  </r>
  <r>
    <s v="Bangladesh"/>
    <n v="226225"/>
    <n v="2965"/>
    <n v="125683"/>
    <n v="97577"/>
    <n v="164851401"/>
    <x v="2"/>
    <d v="2020-03-08T00:00:00"/>
    <n v="1.3106420598961211E-2"/>
    <n v="0.55556636092385903"/>
    <n v="1.3722964962851604E-3"/>
    <s v="Low Risk"/>
  </r>
  <r>
    <s v="France"/>
    <n v="220352"/>
    <n v="30212"/>
    <n v="81212"/>
    <n v="108928"/>
    <n v="65288306"/>
    <x v="3"/>
    <d v="2019-12-27T00:00:00"/>
    <n v="0.13710790008713331"/>
    <n v="0.36855576532094103"/>
    <n v="3.3750607650932158E-3"/>
    <s v="High Risk"/>
  </r>
  <r>
    <s v="Germany"/>
    <n v="207112"/>
    <n v="9125"/>
    <n v="190314"/>
    <n v="7673"/>
    <n v="83811260"/>
    <x v="3"/>
    <d v="2020-01-27T00:00:00"/>
    <n v="4.4058287303487965E-2"/>
    <n v="0.91889412491791878"/>
    <n v="2.4711715347078664E-3"/>
    <s v="Moderate Risk"/>
  </r>
  <r>
    <s v="Argentina"/>
    <n v="167416"/>
    <n v="3059"/>
    <n v="72575"/>
    <n v="91782"/>
    <n v="45236884"/>
    <x v="1"/>
    <d v="2020-03-03T00:00:00"/>
    <n v="1.8271849763463469E-2"/>
    <n v="0.43350097959573758"/>
    <n v="3.7008738267649026E-3"/>
    <s v="Low Risk"/>
  </r>
  <r>
    <s v="Canada"/>
    <n v="116458"/>
    <n v="8944"/>
    <n v="0"/>
    <n v="107514"/>
    <n v="37775022"/>
    <x v="0"/>
    <d v="2020-01-25T00:00:00"/>
    <n v="7.6800219821738305E-2"/>
    <n v="0"/>
    <n v="3.0829366558674672E-3"/>
    <s v="High Risk"/>
  </r>
  <r>
    <s v="Iraq"/>
    <n v="112585"/>
    <n v="4458"/>
    <n v="77144"/>
    <n v="30983"/>
    <n v="40306025"/>
    <x v="2"/>
    <d v="2020-02-22T00:00:00"/>
    <n v="3.9596749122884932E-2"/>
    <n v="0.68520673269085575"/>
    <n v="2.7932548545781927E-3"/>
    <s v="Moderate Risk"/>
  </r>
  <r>
    <s v="Qatar"/>
    <n v="109597"/>
    <n v="165"/>
    <n v="106328"/>
    <n v="3104"/>
    <n v="2807805"/>
    <x v="2"/>
    <d v="2020-02-27T00:00:00"/>
    <n v="1.5055156619250528E-3"/>
    <n v="0.97017254121919394"/>
    <n v="3.9032981278970584E-2"/>
    <s v="Low Risk"/>
  </r>
  <r>
    <s v="Indonesia"/>
    <n v="100303"/>
    <n v="4838"/>
    <n v="58173"/>
    <n v="37292"/>
    <n v="273808365"/>
    <x v="2"/>
    <d v="2020-03-02T00:00:00"/>
    <n v="4.8233851430166598E-2"/>
    <n v="0.57997268277120329"/>
    <n v="3.6632555035343787E-4"/>
    <s v="Moderate Risk"/>
  </r>
  <r>
    <s v="Egypt"/>
    <n v="92482"/>
    <n v="4652"/>
    <n v="34838"/>
    <n v="52992"/>
    <n v="102516525"/>
    <x v="4"/>
    <d v="2020-02-14T00:00:00"/>
    <n v="5.0301680326982547E-2"/>
    <n v="0.37670033087519733"/>
    <n v="9.0211797561417541E-4"/>
    <s v="High Risk"/>
  </r>
  <r>
    <s v="China"/>
    <n v="86783"/>
    <n v="4656"/>
    <n v="78869"/>
    <n v="3258"/>
    <n v="1411778724"/>
    <x v="4"/>
    <d v="2019-11-17T00:00:00"/>
    <n v="5.365106069161011E-2"/>
    <n v="0.90880702441722461"/>
    <n v="6.1470681293536756E-5"/>
    <s v="High Risk"/>
  </r>
  <r>
    <s v="Kazakhstan"/>
    <n v="84648"/>
    <n v="585"/>
    <n v="54404"/>
    <n v="29659"/>
    <n v="18798667"/>
    <x v="2"/>
    <d v="2020-03-13T00:00:00"/>
    <n v="6.9109724978735467E-3"/>
    <n v="0.64270862867403833"/>
    <n v="4.5028724643082409E-3"/>
    <s v="Low Risk"/>
  </r>
  <r>
    <s v="Philippines"/>
    <n v="82040"/>
    <n v="1945"/>
    <n v="26446"/>
    <n v="53649"/>
    <n v="109722719"/>
    <x v="2"/>
    <d v="2020-01-30T00:00:00"/>
    <n v="2.370794734275963E-2"/>
    <n v="0.32235494880546073"/>
    <n v="7.4770294381786148E-4"/>
    <s v="Moderate Risk"/>
  </r>
  <r>
    <s v="Ecuador"/>
    <n v="81161"/>
    <n v="5532"/>
    <n v="34896"/>
    <n v="40733"/>
    <n v="17668824"/>
    <x v="1"/>
    <d v="2020-02-29T00:00:00"/>
    <n v="6.8160816155542689E-2"/>
    <n v="0.42996020256034301"/>
    <n v="4.5934579460410038E-3"/>
    <s v="High Risk"/>
  </r>
  <r>
    <s v="Sweden"/>
    <n v="79395"/>
    <n v="5700"/>
    <n v="0"/>
    <n v="73695"/>
    <n v="10105596"/>
    <x v="3"/>
    <d v="2020-01-31T00:00:00"/>
    <n v="7.1792934063857922E-2"/>
    <n v="0"/>
    <n v="7.8565381002763217E-3"/>
    <s v="High Risk"/>
  </r>
  <r>
    <s v="Oman"/>
    <n v="77058"/>
    <n v="393"/>
    <n v="57028"/>
    <n v="19637"/>
    <n v="5118446"/>
    <x v="2"/>
    <d v="2020-02-24T00:00:00"/>
    <n v="5.1000545043992833E-3"/>
    <n v="0.74006592436865737"/>
    <n v="1.5054960040606075E-2"/>
    <s v="Low Risk"/>
  </r>
  <r>
    <s v="Bolivia"/>
    <n v="71181"/>
    <n v="2647"/>
    <n v="21478"/>
    <n v="47056"/>
    <n v="11688459"/>
    <x v="1"/>
    <d v="2020-03-10T00:00:00"/>
    <n v="3.7186889759907839E-2"/>
    <n v="0.30173782329554233"/>
    <n v="6.0898532475495704E-3"/>
    <s v="Moderate Risk"/>
  </r>
  <r>
    <s v="Belarus"/>
    <n v="67251"/>
    <n v="538"/>
    <n v="60492"/>
    <n v="6221"/>
    <n v="9449001"/>
    <x v="3"/>
    <d v="2020-02-28T00:00:00"/>
    <n v="7.9998810426610764E-3"/>
    <n v="0.89949591827630815"/>
    <n v="7.1172603326002401E-3"/>
    <s v="Low Risk"/>
  </r>
  <r>
    <s v="Ukraine"/>
    <n v="67096"/>
    <n v="1636"/>
    <n v="37202"/>
    <n v="28258"/>
    <n v="43705858"/>
    <x v="3"/>
    <d v="2020-03-03T00:00:00"/>
    <n v="2.4382973649695959E-2"/>
    <n v="0.55445928222248719"/>
    <n v="1.5351717840661086E-3"/>
    <s v="Moderate Risk"/>
  </r>
  <r>
    <s v="Belgium"/>
    <n v="66428"/>
    <n v="9822"/>
    <n v="17452"/>
    <n v="39154"/>
    <n v="11594739"/>
    <x v="3"/>
    <d v="2020-02-04T00:00:00"/>
    <n v="0.14785933642439936"/>
    <n v="0.26272053953152286"/>
    <n v="5.7291500912612179E-3"/>
    <s v="High Risk"/>
  </r>
  <r>
    <s v="Kuwait"/>
    <n v="64379"/>
    <n v="438"/>
    <n v="55057"/>
    <n v="8884"/>
    <n v="4276658"/>
    <x v="2"/>
    <d v="2020-02-24T00:00:00"/>
    <n v="6.8034607558365304E-3"/>
    <n v="0.85520123021482164"/>
    <n v="1.5053576881761413E-2"/>
    <s v="Low Risk"/>
  </r>
  <r>
    <s v="Dominican Republic"/>
    <n v="64156"/>
    <n v="1083"/>
    <n v="30204"/>
    <n v="32869"/>
    <n v="10858648"/>
    <x v="0"/>
    <d v="2020-03-01T00:00:00"/>
    <n v="1.688072822495168E-2"/>
    <n v="0.47078994949809838"/>
    <n v="5.9082861881147638E-3"/>
    <s v="Low Risk"/>
  </r>
  <r>
    <s v="Israel"/>
    <n v="63985"/>
    <n v="474"/>
    <n v="27133"/>
    <n v="36378"/>
    <n v="9197590"/>
    <x v="2"/>
    <d v="2020-02-21T00:00:00"/>
    <n v="7.407986246776588E-3"/>
    <n v="0.42405251230757207"/>
    <n v="6.9567136608611607E-3"/>
    <s v="Low Risk"/>
  </r>
  <r>
    <s v="Panama"/>
    <n v="61442"/>
    <n v="1322"/>
    <n v="35086"/>
    <n v="25034"/>
    <n v="5112340"/>
    <x v="2"/>
    <d v="2020-03-09T00:00:00"/>
    <n v="2.1516226685329255E-2"/>
    <n v="0.57104260929006212"/>
    <n v="1.2018371235089998E-2"/>
    <s v="Moderate Risk"/>
  </r>
  <r>
    <s v="United Arab Emirates"/>
    <n v="59177"/>
    <n v="345"/>
    <n v="52510"/>
    <n v="6322"/>
    <n v="9902079"/>
    <x v="2"/>
    <d v="2020-01-29T00:00:00"/>
    <n v="5.8299677239468037E-3"/>
    <n v="0.88733798604187442"/>
    <n v="5.9762197413290681E-3"/>
    <s v="Low Risk"/>
  </r>
  <r>
    <s v="Netherlands"/>
    <n v="53413"/>
    <n v="6160"/>
    <n v="189"/>
    <n v="47064"/>
    <n v="17138756"/>
    <x v="3"/>
    <d v="2020-02-27T00:00:00"/>
    <n v="0.11532772920450078"/>
    <n v="3.5384644187744555E-3"/>
    <n v="3.1165039049508613E-3"/>
    <s v="High Risk"/>
  </r>
  <r>
    <s v="Singapore"/>
    <n v="50838"/>
    <n v="27"/>
    <n v="45692"/>
    <n v="5119"/>
    <n v="5854932"/>
    <x v="2"/>
    <d v="2020-01-23T00:00:00"/>
    <n v="5.3109878437389356E-4"/>
    <n v="0.89877650576340529"/>
    <n v="8.6829360272672688E-3"/>
    <s v="Low Risk"/>
  </r>
  <r>
    <s v="Portugal"/>
    <n v="50299"/>
    <n v="1719"/>
    <n v="35375"/>
    <n v="13205"/>
    <n v="10193593"/>
    <x v="3"/>
    <d v="2020-03-02T00:00:00"/>
    <n v="3.4175629734189548E-2"/>
    <n v="0.70329430008548877"/>
    <n v="4.9343739739265632E-3"/>
    <s v="Moderate Risk"/>
  </r>
  <r>
    <s v="Romania"/>
    <n v="45902"/>
    <n v="2206"/>
    <n v="25794"/>
    <n v="17902"/>
    <n v="19224023"/>
    <x v="3"/>
    <d v="2020-02-26T00:00:00"/>
    <n v="4.805890810857915E-2"/>
    <n v="0.56193629907193587"/>
    <n v="2.3877416293145303E-3"/>
    <s v="Moderate Risk"/>
  </r>
  <r>
    <s v="Guatemala"/>
    <n v="45309"/>
    <n v="1761"/>
    <n v="32455"/>
    <n v="11093"/>
    <n v="17946899"/>
    <x v="0"/>
    <d v="2020-03-13T00:00:00"/>
    <n v="3.8866450374097861E-2"/>
    <n v="0.71630360414045779"/>
    <n v="2.5246144194604318E-3"/>
    <s v="Moderate Risk"/>
  </r>
  <r>
    <s v="Poland"/>
    <n v="43402"/>
    <n v="1676"/>
    <n v="32856"/>
    <n v="8870"/>
    <n v="37842302"/>
    <x v="3"/>
    <d v="2020-03-04T00:00:00"/>
    <n v="3.8615731993917331E-2"/>
    <n v="0.75701580572323857"/>
    <n v="1.1469175421727779E-3"/>
    <s v="Moderate Risk"/>
  </r>
  <r>
    <s v="Nigeria"/>
    <n v="41180"/>
    <n v="860"/>
    <n v="18203"/>
    <n v="22117"/>
    <n v="206606300"/>
    <x v="4"/>
    <d v="2020-02-27T00:00:00"/>
    <n v="2.0883924235065566E-2"/>
    <n v="0.44203496843127732"/>
    <n v="1.9931628415977636E-4"/>
    <s v="Moderate Risk"/>
  </r>
  <r>
    <s v="Honduras"/>
    <n v="39741"/>
    <n v="1166"/>
    <n v="5039"/>
    <n v="33536"/>
    <n v="10012084"/>
    <x v="0"/>
    <d v="2020-03-17T00:00:00"/>
    <n v="2.9339976346845827E-2"/>
    <n v="0.12679600412672051"/>
    <n v="3.9693034936582631E-3"/>
    <s v="Moderate Risk"/>
  </r>
  <r>
    <s v="Bahrain"/>
    <n v="39482"/>
    <n v="141"/>
    <n v="36110"/>
    <n v="3231"/>
    <n v="1706669"/>
    <x v="2"/>
    <d v="2020-02-21T00:00:00"/>
    <n v="3.5712476571602247E-3"/>
    <n v="0.91459399219897675"/>
    <n v="2.3133952746548978E-2"/>
    <s v="Low Risk"/>
  </r>
  <r>
    <s v="Armenia"/>
    <n v="37390"/>
    <n v="711"/>
    <n v="26665"/>
    <n v="10014"/>
    <n v="2963811"/>
    <x v="2"/>
    <d v="2020-03-01T00:00:00"/>
    <n v="1.901577962021931E-2"/>
    <n v="0.71315859855576358"/>
    <n v="1.2615514282118529E-2"/>
    <s v="Low Risk"/>
  </r>
  <r>
    <s v="Afghanistan"/>
    <n v="36263"/>
    <n v="1269"/>
    <n v="25198"/>
    <n v="9796"/>
    <n v="39009447"/>
    <x v="2"/>
    <d v="2020-02-24T00:00:00"/>
    <n v="3.4994346854920991E-2"/>
    <n v="0.69486804732096075"/>
    <n v="9.2959533622714516E-4"/>
    <s v="Moderate Risk"/>
  </r>
  <r>
    <s v="Switzerland"/>
    <n v="34477"/>
    <n v="1978"/>
    <n v="30900"/>
    <n v="1599"/>
    <n v="8660952"/>
    <x v="3"/>
    <d v="2020-02-25T00:00:00"/>
    <n v="5.7371581054036024E-2"/>
    <n v="0.89624967369550712"/>
    <n v="3.9807402234765879E-3"/>
    <s v="High Risk"/>
  </r>
  <r>
    <s v="Ghana"/>
    <n v="33624"/>
    <n v="168"/>
    <n v="29801"/>
    <n v="3655"/>
    <n v="31133483"/>
    <x v="4"/>
    <d v="2020-03-12T00:00:00"/>
    <n v="4.9964311206281229E-3"/>
    <n v="0.88630145134427785"/>
    <n v="1.0799948081620036E-3"/>
    <s v="Low Risk"/>
  </r>
  <r>
    <s v="Kyrgyzstan"/>
    <n v="33296"/>
    <n v="1301"/>
    <n v="21205"/>
    <n v="10790"/>
    <n v="6534479"/>
    <x v="2"/>
    <d v="2020-03-18T00:00:00"/>
    <n v="3.9073762614127823E-2"/>
    <n v="0.63686328688130711"/>
    <n v="5.0954330100379842E-3"/>
    <s v="Moderate Risk"/>
  </r>
  <r>
    <s v="Japan"/>
    <n v="31142"/>
    <n v="998"/>
    <n v="21970"/>
    <n v="8174"/>
    <n v="126435859"/>
    <x v="2"/>
    <d v="2020-01-16T00:00:00"/>
    <n v="3.2046753580373774E-2"/>
    <n v="0.70547813242566304"/>
    <n v="2.4630670639094564E-4"/>
    <s v="Moderate Risk"/>
  </r>
  <r>
    <s v="Azerbaijan"/>
    <n v="30446"/>
    <n v="423"/>
    <n v="23242"/>
    <n v="6781"/>
    <n v="10148243"/>
    <x v="2"/>
    <d v="2020-02-28T00:00:00"/>
    <n v="1.389345069959929E-2"/>
    <n v="0.76338435262431847"/>
    <n v="3.0001252433549336E-3"/>
    <s v="Low Risk"/>
  </r>
  <r>
    <s v="Algeria"/>
    <n v="27973"/>
    <n v="1163"/>
    <n v="18837"/>
    <n v="7973"/>
    <n v="43926079"/>
    <x v="4"/>
    <d v="2020-02-25T00:00:00"/>
    <n v="4.1575805240767885E-2"/>
    <n v="0.67339934937260926"/>
    <n v="6.3681987185790017E-4"/>
    <s v="Moderate Risk"/>
  </r>
  <r>
    <s v="Ireland"/>
    <n v="25892"/>
    <n v="1764"/>
    <n v="23364"/>
    <n v="764"/>
    <n v="4943200"/>
    <x v="3"/>
    <d v="2020-02-29T00:00:00"/>
    <n v="6.8129151861578863E-2"/>
    <n v="0.90236366445234051"/>
    <n v="5.2379025732319142E-3"/>
    <s v="High Risk"/>
  </r>
  <r>
    <s v="Serbia"/>
    <n v="24141"/>
    <n v="543"/>
    <n v="0"/>
    <n v="23598"/>
    <n v="8733665"/>
    <x v="3"/>
    <d v="2020-03-06T00:00:00"/>
    <n v="2.2492854479930408E-2"/>
    <n v="0"/>
    <n v="2.7641316675187334E-3"/>
    <s v="Moderate Risk"/>
  </r>
  <r>
    <s v="Moldova"/>
    <n v="23154"/>
    <n v="748"/>
    <n v="16154"/>
    <n v="6252"/>
    <n v="4032983"/>
    <x v="3"/>
    <d v="2020-03-07T00:00:00"/>
    <n v="3.2305433186490456E-2"/>
    <n v="0.69767642739915348"/>
    <n v="5.7411598313208854E-3"/>
    <s v="Moderate Risk"/>
  </r>
  <r>
    <s v="Uzbekistan"/>
    <n v="21209"/>
    <n v="121"/>
    <n v="11674"/>
    <n v="9414"/>
    <n v="33516027"/>
    <x v="2"/>
    <d v="2020-03-15T00:00:00"/>
    <n v="5.7051251827054551E-3"/>
    <n v="0.55042670564383045"/>
    <n v="6.3280173392866643E-4"/>
    <s v="Low Risk"/>
  </r>
  <r>
    <s v="Morocco"/>
    <n v="20887"/>
    <n v="316"/>
    <n v="16553"/>
    <n v="4018"/>
    <n v="36953359"/>
    <x v="4"/>
    <d v="2020-03-02T00:00:00"/>
    <n v="1.5129027624838417E-2"/>
    <n v="0.79250251352515921"/>
    <n v="5.6522601910153822E-4"/>
    <s v="Low Risk"/>
  </r>
  <r>
    <s v="Austria"/>
    <n v="20558"/>
    <n v="713"/>
    <n v="18246"/>
    <n v="1599"/>
    <n v="9011577"/>
    <x v="3"/>
    <d v="2020-02-25T00:00:00"/>
    <n v="3.4682362097480303E-2"/>
    <n v="0.88753769821967121"/>
    <n v="2.2812877257776302E-3"/>
    <s v="Moderate Risk"/>
  </r>
  <r>
    <s v="Nepal"/>
    <n v="18752"/>
    <n v="48"/>
    <n v="13754"/>
    <n v="4950"/>
    <n v="29186486"/>
    <x v="2"/>
    <d v="2020-01-13T00:00:00"/>
    <n v="2.5597269624573378E-3"/>
    <n v="0.73346843003412965"/>
    <n v="6.4248913007204774E-4"/>
    <s v="Low Risk"/>
  </r>
  <r>
    <s v="Kenya"/>
    <n v="17975"/>
    <n v="285"/>
    <n v="7833"/>
    <n v="9857"/>
    <n v="53881160"/>
    <x v="4"/>
    <d v="2020-03-13T00:00:00"/>
    <n v="1.5855354659248956E-2"/>
    <n v="0.4357719054242003"/>
    <n v="3.3360454748932648E-4"/>
    <s v="Low Risk"/>
  </r>
  <r>
    <s v="Cameroon"/>
    <n v="17110"/>
    <n v="391"/>
    <n v="14539"/>
    <n v="2180"/>
    <n v="26606188"/>
    <x v="4"/>
    <d v="2020-03-06T00:00:00"/>
    <n v="2.2852133255406196E-2"/>
    <n v="0.84973699590882523"/>
    <n v="6.4308348118114476E-4"/>
    <s v="Moderate Risk"/>
  </r>
  <r>
    <s v="Venezuela"/>
    <n v="15988"/>
    <n v="146"/>
    <n v="9959"/>
    <n v="5883"/>
    <n v="28427499"/>
    <x v="1"/>
    <d v="2020-03-13T00:00:00"/>
    <n v="9.1318488866649981E-3"/>
    <n v="0.62290467850888165"/>
    <n v="5.624131760588577E-4"/>
    <s v="Low Risk"/>
  </r>
  <r>
    <s v="Costa Rica"/>
    <n v="15841"/>
    <n v="115"/>
    <n v="3824"/>
    <n v="11902"/>
    <n v="5098730"/>
    <x v="0"/>
    <d v="2020-03-06T00:00:00"/>
    <n v="7.2596426993245377E-3"/>
    <n v="0.24139890158449592"/>
    <n v="3.1068520984637352E-3"/>
    <s v="Low Risk"/>
  </r>
  <r>
    <s v="Cote d'Ivoire"/>
    <n v="15655"/>
    <n v="96"/>
    <n v="10361"/>
    <n v="5198"/>
    <n v="26172000"/>
    <x v="4"/>
    <d v="2020-03-11T00:00:00"/>
    <n v="6.1322261258383902E-3"/>
    <n v="0.66183328010220377"/>
    <n v="5.9815833715421058E-4"/>
    <s v="Low Risk"/>
  </r>
  <r>
    <s v="Czechia"/>
    <n v="15516"/>
    <n v="373"/>
    <n v="11428"/>
    <n v="3715"/>
    <n v="10711019"/>
    <x v="3"/>
    <d v="2020-03-01T00:00:00"/>
    <n v="2.4039700953854087E-2"/>
    <n v="0.7365300335137922"/>
    <n v="1.4486016689915311E-3"/>
    <s v="Moderate Risk"/>
  </r>
  <r>
    <s v="Australia"/>
    <n v="15303"/>
    <n v="167"/>
    <n v="9311"/>
    <n v="5825"/>
    <n v="25528864"/>
    <x v="5"/>
    <d v="2020-01-25T00:00:00"/>
    <n v="1.0912892896817617E-2"/>
    <n v="0.60844278899562176"/>
    <n v="5.9943912897965216E-4"/>
    <s v="Low Risk"/>
  </r>
  <r>
    <s v="El Salvador"/>
    <n v="15035"/>
    <n v="408"/>
    <n v="7778"/>
    <n v="6849"/>
    <n v="6489514"/>
    <x v="0"/>
    <d v="2020-03-19T00:00:00"/>
    <n v="2.7136681077485868E-2"/>
    <n v="0.51732623877618888"/>
    <n v="2.3168144794818227E-3"/>
    <s v="Moderate Risk"/>
  </r>
  <r>
    <s v="Ethiopia"/>
    <n v="14547"/>
    <n v="228"/>
    <n v="6386"/>
    <n v="7933"/>
    <n v="115223736"/>
    <x v="4"/>
    <d v="2020-03-13T00:00:00"/>
    <n v="1.5673334708187256E-2"/>
    <n v="0.43899085722142023"/>
    <n v="1.2625002890029533E-4"/>
    <s v="Low Risk"/>
  </r>
  <r>
    <s v="South Korea"/>
    <n v="14203"/>
    <n v="300"/>
    <n v="13007"/>
    <n v="896"/>
    <n v="51273732"/>
    <x v="2"/>
    <d v="2020-01-20T00:00:00"/>
    <n v="2.1122298106033936E-2"/>
    <n v="0.91579243821727807"/>
    <n v="2.7700343715959667E-4"/>
    <s v="Moderate Risk"/>
  </r>
  <r>
    <s v="Denmark"/>
    <n v="13761"/>
    <n v="613"/>
    <n v="12605"/>
    <n v="543"/>
    <n v="5794279"/>
    <x v="3"/>
    <d v="2020-02-27T00:00:00"/>
    <n v="4.454618123682872E-2"/>
    <n v="0.91599447714555626"/>
    <n v="2.3749287875160997E-3"/>
    <s v="Moderate Risk"/>
  </r>
  <r>
    <s v="Sudan"/>
    <n v="11424"/>
    <n v="720"/>
    <n v="5939"/>
    <n v="4765"/>
    <n v="43943536"/>
    <x v="4"/>
    <d v="2020-03-13T00:00:00"/>
    <n v="6.3025210084033612E-2"/>
    <n v="0.51987044817927175"/>
    <n v="2.5996997601649536E-4"/>
    <s v="High Risk"/>
  </r>
  <r>
    <s v="Bulgaria"/>
    <n v="10621"/>
    <n v="347"/>
    <n v="5585"/>
    <n v="4689"/>
    <n v="6942854"/>
    <x v="3"/>
    <d v="2020-03-08T00:00:00"/>
    <n v="3.2671123246398641E-2"/>
    <n v="0.52584502400903865"/>
    <n v="1.5297743550418891E-3"/>
    <s v="Moderate Risk"/>
  </r>
  <r>
    <s v="West Bank and Gaza"/>
    <n v="10621"/>
    <n v="78"/>
    <n v="3752"/>
    <n v="6791"/>
    <n v="4800000"/>
    <x v="2"/>
    <d v="2020-03-05T00:00:00"/>
    <n v="7.3439412484700125E-3"/>
    <n v="0.35326240466999342"/>
    <n v="2.2127083333333335E-3"/>
    <s v="Low Risk"/>
  </r>
  <r>
    <s v="Bosnia and Herzegovina"/>
    <n v="10498"/>
    <n v="294"/>
    <n v="4930"/>
    <n v="5274"/>
    <n v="3278650"/>
    <x v="3"/>
    <d v="2020-03-05T00:00:00"/>
    <n v="2.8005334349399887E-2"/>
    <n v="0.46961325966850831"/>
    <n v="3.2019276226495663E-3"/>
    <s v="Moderate Risk"/>
  </r>
  <r>
    <s v="North Macedonia"/>
    <n v="10213"/>
    <n v="466"/>
    <n v="5564"/>
    <n v="4183"/>
    <n v="2083365"/>
    <x v="3"/>
    <d v="2020-02-26T00:00:00"/>
    <n v="4.5628121022226575E-2"/>
    <n v="0.54479584842847351"/>
    <n v="4.9021654870845966E-3"/>
    <s v="Moderate Risk"/>
  </r>
  <r>
    <s v="Senegal"/>
    <n v="9764"/>
    <n v="194"/>
    <n v="6477"/>
    <n v="3093"/>
    <n v="16783877"/>
    <x v="4"/>
    <d v="2020-03-02T00:00:00"/>
    <n v="1.9868906185989348E-2"/>
    <n v="0.66335518230233514"/>
    <n v="5.8174878188156404E-4"/>
    <s v="Low Risk"/>
  </r>
  <r>
    <s v="Madagascar"/>
    <n v="9690"/>
    <n v="91"/>
    <n v="6260"/>
    <n v="3339"/>
    <n v="27755708"/>
    <x v="4"/>
    <d v="2020-03-20T00:00:00"/>
    <n v="9.3911248710010324E-3"/>
    <n v="0.6460268317853457"/>
    <n v="3.491173779461868E-4"/>
    <s v="Low Risk"/>
  </r>
  <r>
    <s v="Norway"/>
    <n v="9132"/>
    <n v="255"/>
    <n v="8752"/>
    <n v="125"/>
    <n v="5425471"/>
    <x v="3"/>
    <d v="2020-02-26T00:00:00"/>
    <n v="2.7923784494086726E-2"/>
    <n v="0.95838808585194923"/>
    <n v="1.6831718389057834E-3"/>
    <s v="Moderate Risk"/>
  </r>
  <r>
    <s v="Malaysia"/>
    <n v="8904"/>
    <n v="124"/>
    <n v="8601"/>
    <n v="179"/>
    <n v="32406372"/>
    <x v="2"/>
    <d v="2020-01-25T00:00:00"/>
    <n v="1.3926325247079964E-2"/>
    <n v="0.96597035040431267"/>
    <n v="2.7476077852837093E-4"/>
    <s v="Low Risk"/>
  </r>
  <r>
    <s v="Congo (Kinshasa)"/>
    <n v="8844"/>
    <n v="208"/>
    <n v="5700"/>
    <n v="2936"/>
    <n v="96076573"/>
    <x v="4"/>
    <d v="2020-03-10T00:00:00"/>
    <n v="2.3518769787426504E-2"/>
    <n v="0.64450474898236088"/>
    <n v="9.2051576402501362E-5"/>
    <s v="Moderate Risk"/>
  </r>
  <r>
    <s v="Kosovo"/>
    <n v="7413"/>
    <n v="185"/>
    <n v="4027"/>
    <n v="3201"/>
    <n v="1790152"/>
    <x v="3"/>
    <d v="2020-03-13T00:00:00"/>
    <n v="2.4956158100634021E-2"/>
    <n v="0.54323485768244972"/>
    <n v="4.1409891450558392E-3"/>
    <s v="Moderate Risk"/>
  </r>
  <r>
    <s v="Finland"/>
    <n v="7398"/>
    <n v="329"/>
    <n v="6920"/>
    <n v="149"/>
    <n v="5541604"/>
    <x v="3"/>
    <d v="2020-02-26T00:00:00"/>
    <n v="4.4471478778048121E-2"/>
    <n v="0.93538794268721281"/>
    <n v="1.334992540066017E-3"/>
    <s v="Moderate Risk"/>
  </r>
  <r>
    <s v="Haiti"/>
    <n v="7340"/>
    <n v="158"/>
    <n v="4365"/>
    <n v="2817"/>
    <n v="11416103"/>
    <x v="0"/>
    <d v="2020-03-19T00:00:00"/>
    <n v="2.1525885558583105E-2"/>
    <n v="0.59468664850136244"/>
    <n v="6.4295145199723587E-4"/>
    <s v="Moderate Risk"/>
  </r>
  <r>
    <s v="Tajikistan"/>
    <n v="7235"/>
    <n v="60"/>
    <n v="6028"/>
    <n v="1147"/>
    <n v="9557468"/>
    <x v="2"/>
    <d v="2020-04-30T00:00:00"/>
    <n v="8.2930200414651004E-3"/>
    <n v="0.83317208016586042"/>
    <n v="7.569996572313922E-4"/>
    <s v="Low Risk"/>
  </r>
  <r>
    <s v="Gabon"/>
    <n v="7189"/>
    <n v="49"/>
    <n v="4682"/>
    <n v="2458"/>
    <n v="2230563"/>
    <x v="4"/>
    <d v="2020-03-12T00:00:00"/>
    <n v="6.815968841285297E-3"/>
    <n v="0.65127277785505633"/>
    <n v="3.2229531288737417E-3"/>
    <s v="Low Risk"/>
  </r>
  <r>
    <s v="Guinea"/>
    <n v="7055"/>
    <n v="45"/>
    <n v="6257"/>
    <n v="753"/>
    <n v="13164905"/>
    <x v="4"/>
    <d v="2020-03-13T00:00:00"/>
    <n v="6.3784549964564135E-3"/>
    <n v="0.88688873139617297"/>
    <n v="5.3589448613567661E-4"/>
    <s v="Low Risk"/>
  </r>
  <r>
    <s v="Luxembourg"/>
    <n v="6321"/>
    <n v="112"/>
    <n v="4825"/>
    <n v="1384"/>
    <n v="626952"/>
    <x v="3"/>
    <d v="2020-02-29T00:00:00"/>
    <n v="1.7718715393133997E-2"/>
    <n v="0.763328587248853"/>
    <n v="1.0082111549209509E-2"/>
    <s v="Low Risk"/>
  </r>
  <r>
    <s v="Mauritania"/>
    <n v="6208"/>
    <n v="156"/>
    <n v="4653"/>
    <n v="1399"/>
    <n v="4660728"/>
    <x v="4"/>
    <d v="2020-03-13T00:00:00"/>
    <n v="2.5128865979381444E-2"/>
    <n v="0.74951675257731953"/>
    <n v="1.3319807549378553E-3"/>
    <s v="Moderate Risk"/>
  </r>
  <r>
    <s v="Djibouti"/>
    <n v="5059"/>
    <n v="58"/>
    <n v="4977"/>
    <n v="24"/>
    <n v="989387"/>
    <x v="4"/>
    <d v="2020-03-18T00:00:00"/>
    <n v="1.1464716347104172E-2"/>
    <n v="0.98379126309547338"/>
    <n v="5.1132671037723357E-3"/>
    <s v="Low Risk"/>
  </r>
  <r>
    <s v="Croatia"/>
    <n v="4881"/>
    <n v="139"/>
    <n v="3936"/>
    <n v="806"/>
    <n v="4102577"/>
    <x v="3"/>
    <d v="2020-02-25T00:00:00"/>
    <n v="2.8477770948576113E-2"/>
    <n v="0.80639213275968036"/>
    <n v="1.1897400097548444E-3"/>
    <s v="Moderate Risk"/>
  </r>
  <r>
    <s v="Albania"/>
    <n v="4880"/>
    <n v="144"/>
    <n v="2745"/>
    <n v="1991"/>
    <n v="2877470"/>
    <x v="3"/>
    <d v="2020-03-09T00:00:00"/>
    <n v="2.9508196721311476E-2"/>
    <n v="0.5625"/>
    <n v="1.6959342755962703E-3"/>
    <s v="Moderate Risk"/>
  </r>
  <r>
    <s v="Central African Republic"/>
    <n v="4599"/>
    <n v="59"/>
    <n v="1546"/>
    <n v="2994"/>
    <n v="4837752"/>
    <x v="4"/>
    <d v="2020-03-14T00:00:00"/>
    <n v="1.2828875842574472E-2"/>
    <n v="0.33616003479017176"/>
    <n v="9.5064815228229974E-4"/>
    <s v="Low Risk"/>
  </r>
  <r>
    <s v="Zambia"/>
    <n v="4552"/>
    <n v="140"/>
    <n v="2815"/>
    <n v="1597"/>
    <n v="18430129"/>
    <x v="4"/>
    <d v="2020-03-18T00:00:00"/>
    <n v="3.0755711775043937E-2"/>
    <n v="0.61840949033391912"/>
    <n v="2.4698687676033088E-4"/>
    <s v="Moderate Risk"/>
  </r>
  <r>
    <s v="Paraguay"/>
    <n v="4548"/>
    <n v="43"/>
    <n v="2905"/>
    <n v="1600"/>
    <n v="7141091"/>
    <x v="1"/>
    <d v="2020-03-07T00:00:00"/>
    <n v="9.4547053649956022E-3"/>
    <n v="0.63874230430958667"/>
    <n v="6.368774743243014E-4"/>
    <s v="Low Risk"/>
  </r>
  <r>
    <s v="Hungary"/>
    <n v="4448"/>
    <n v="596"/>
    <n v="3329"/>
    <n v="523"/>
    <n v="9657785"/>
    <x v="3"/>
    <d v="2020-03-04T00:00:00"/>
    <n v="0.13399280575539568"/>
    <n v="0.74842625899280579"/>
    <n v="4.6056109138896753E-4"/>
    <s v="High Risk"/>
  </r>
  <r>
    <s v="Greece"/>
    <n v="4227"/>
    <n v="202"/>
    <n v="1374"/>
    <n v="2651"/>
    <n v="10417673"/>
    <x v="3"/>
    <d v="2020-02-26T00:00:00"/>
    <n v="4.7788029335225926E-2"/>
    <n v="0.32505322924059615"/>
    <n v="4.0575280103339776E-4"/>
    <s v="Moderate Risk"/>
  </r>
  <r>
    <s v="Lebanon"/>
    <n v="3882"/>
    <n v="51"/>
    <n v="1709"/>
    <n v="2122"/>
    <n v="6822220"/>
    <x v="2"/>
    <d v="2020-02-21T00:00:00"/>
    <n v="1.3137557959814529E-2"/>
    <n v="0.44023699124162802"/>
    <n v="5.6902298665243865E-4"/>
    <s v="Low Risk"/>
  </r>
  <r>
    <s v="Malawi"/>
    <n v="3664"/>
    <n v="99"/>
    <n v="1645"/>
    <n v="1920"/>
    <n v="19174839"/>
    <x v="4"/>
    <d v="2020-04-01T00:00:00"/>
    <n v="2.7019650655021835E-2"/>
    <n v="0.44896288209606988"/>
    <n v="1.910837426066524E-4"/>
    <s v="Moderate Risk"/>
  </r>
  <r>
    <s v="Nicaragua"/>
    <n v="3439"/>
    <n v="108"/>
    <n v="2492"/>
    <n v="839"/>
    <n v="6632263"/>
    <x v="0"/>
    <d v="2020-03-18T00:00:00"/>
    <n v="3.1404478045943589E-2"/>
    <n v="0.72462925268973544"/>
    <n v="5.1852587872344626E-4"/>
    <s v="Moderate Risk"/>
  </r>
  <r>
    <s v="Maldives"/>
    <n v="3369"/>
    <n v="15"/>
    <n v="2547"/>
    <n v="807"/>
    <n v="541448"/>
    <x v="2"/>
    <d v="2020-03-07T00:00:00"/>
    <n v="4.4523597506678537E-3"/>
    <n v="0.75601068566340157"/>
    <n v="6.2222041636500643E-3"/>
    <s v="Low Risk"/>
  </r>
  <r>
    <s v="Thailand"/>
    <n v="3297"/>
    <n v="58"/>
    <n v="3111"/>
    <n v="128"/>
    <n v="69817894"/>
    <x v="2"/>
    <d v="2020-01-13T00:00:00"/>
    <n v="1.7591750075826508E-2"/>
    <n v="0.94358507734303909"/>
    <n v="4.7222850921283877E-5"/>
    <s v="Low Risk"/>
  </r>
  <r>
    <s v="Congo (Brazzaville)"/>
    <n v="3200"/>
    <n v="54"/>
    <n v="829"/>
    <n v="2317"/>
    <n v="5530506"/>
    <x v="4"/>
    <d v="2020-03-14T00:00:00"/>
    <n v="1.6875000000000001E-2"/>
    <n v="0.25906249999999997"/>
    <n v="5.7860890124701071E-4"/>
    <s v="Low Risk"/>
  </r>
  <r>
    <s v="Somalia"/>
    <n v="3196"/>
    <n v="93"/>
    <n v="1543"/>
    <n v="1560"/>
    <n v="15933012"/>
    <x v="4"/>
    <d v="2020-03-16T00:00:00"/>
    <n v="2.9098873591989989E-2"/>
    <n v="0.48279098873591991"/>
    <n v="2.0058981942648382E-4"/>
    <s v="Moderate Risk"/>
  </r>
  <r>
    <s v="Equatorial Guinea"/>
    <n v="3071"/>
    <n v="51"/>
    <n v="842"/>
    <n v="2178"/>
    <n v="1407001"/>
    <x v="4"/>
    <d v="2020-03-14T00:00:00"/>
    <n v="1.6606968414197329E-2"/>
    <n v="0.27417779225008143"/>
    <n v="2.1826565865980196E-3"/>
    <s v="Low Risk"/>
  </r>
  <r>
    <s v="Montenegro"/>
    <n v="2893"/>
    <n v="45"/>
    <n v="809"/>
    <n v="2039"/>
    <n v="628074"/>
    <x v="3"/>
    <d v="2020-03-17T00:00:00"/>
    <n v="1.5554787417905289E-2"/>
    <n v="0.27964051157967507"/>
    <n v="4.6061451357642573E-3"/>
    <s v="Low Risk"/>
  </r>
  <r>
    <s v="Libya"/>
    <n v="2827"/>
    <n v="64"/>
    <n v="577"/>
    <n v="2186"/>
    <n v="6880353"/>
    <x v="4"/>
    <d v="2020-03-24T00:00:00"/>
    <n v="2.2638839759462327E-2"/>
    <n v="0.20410328970640254"/>
    <n v="4.1088008129815432E-4"/>
    <s v="Moderate Risk"/>
  </r>
  <r>
    <s v="Sri Lanka"/>
    <n v="2805"/>
    <n v="11"/>
    <n v="2121"/>
    <n v="673"/>
    <n v="21422362"/>
    <x v="2"/>
    <d v="2020-01-27T00:00:00"/>
    <n v="3.9215686274509803E-3"/>
    <n v="0.75614973262032081"/>
    <n v="1.3093794232400704E-4"/>
    <s v="Low Risk"/>
  </r>
  <r>
    <s v="Zimbabwe"/>
    <n v="2704"/>
    <n v="36"/>
    <n v="542"/>
    <n v="2126"/>
    <n v="14883803"/>
    <x v="4"/>
    <d v="2020-03-21T00:00:00"/>
    <n v="1.3313609467455622E-2"/>
    <n v="0.20044378698224852"/>
    <n v="1.8167399823821909E-4"/>
    <s v="Low Risk"/>
  </r>
  <r>
    <s v="Cuba"/>
    <n v="2532"/>
    <n v="87"/>
    <n v="2351"/>
    <n v="94"/>
    <n v="11325899"/>
    <x v="0"/>
    <d v="2020-03-11T00:00:00"/>
    <n v="3.4360189573459717E-2"/>
    <n v="0.92851500789889418"/>
    <n v="2.2355841244920161E-4"/>
    <s v="Moderate Risk"/>
  </r>
  <r>
    <s v="Mali"/>
    <n v="2513"/>
    <n v="124"/>
    <n v="1913"/>
    <n v="476"/>
    <n v="20302901"/>
    <x v="4"/>
    <d v="2020-03-25T00:00:00"/>
    <n v="4.9343414245921209E-2"/>
    <n v="0.76124154397134902"/>
    <n v="1.2377541514880066E-4"/>
    <s v="Moderate Risk"/>
  </r>
  <r>
    <s v="Cabo Verde"/>
    <n v="2328"/>
    <n v="22"/>
    <n v="1550"/>
    <n v="756"/>
    <n v="556581"/>
    <x v="4"/>
    <d v="2020-03-20T00:00:00"/>
    <n v="9.4501718213058413E-3"/>
    <n v="0.66580756013745701"/>
    <n v="4.1826796099759065E-3"/>
    <s v="Low Risk"/>
  </r>
  <r>
    <s v="Eswatini"/>
    <n v="2316"/>
    <n v="34"/>
    <n v="1025"/>
    <n v="1257"/>
    <n v="1161348"/>
    <x v="4"/>
    <d v="2020-03-14T00:00:00"/>
    <n v="1.468048359240069E-2"/>
    <n v="0.442573402417962"/>
    <n v="1.9942342863637774E-3"/>
    <s v="Low Risk"/>
  </r>
  <r>
    <s v="South Sudan"/>
    <n v="2305"/>
    <n v="46"/>
    <n v="1175"/>
    <n v="1084"/>
    <n v="11206572"/>
    <x v="4"/>
    <d v="2020-04-05T00:00:00"/>
    <n v="1.9956616052060738E-2"/>
    <n v="0.50976138828633411"/>
    <n v="2.0568287965311784E-4"/>
    <s v="Low Risk"/>
  </r>
  <r>
    <s v="Slovakia"/>
    <n v="2181"/>
    <n v="28"/>
    <n v="1616"/>
    <n v="537"/>
    <n v="5459915"/>
    <x v="3"/>
    <d v="2020-03-06T00:00:00"/>
    <n v="1.2838147638697846E-2"/>
    <n v="0.74094452086198992"/>
    <n v="3.994567680998697E-4"/>
    <s v="Low Risk"/>
  </r>
  <r>
    <s v="Slovenia"/>
    <n v="2087"/>
    <n v="116"/>
    <n v="1733"/>
    <n v="238"/>
    <n v="2078968"/>
    <x v="3"/>
    <d v="2020-03-04T00:00:00"/>
    <n v="5.558217537134643E-2"/>
    <n v="0.83037853378054627"/>
    <n v="1.0038634553297598E-3"/>
    <s v="High Risk"/>
  </r>
  <r>
    <s v="Estonia"/>
    <n v="2034"/>
    <n v="69"/>
    <n v="1923"/>
    <n v="42"/>
    <n v="1326627"/>
    <x v="3"/>
    <d v="2020-02-27T00:00:00"/>
    <n v="3.3923303834808259E-2"/>
    <n v="0.94542772861356927"/>
    <n v="1.5332116714042456E-3"/>
    <s v="Moderate Risk"/>
  </r>
  <r>
    <s v="Lithuania"/>
    <n v="2019"/>
    <n v="80"/>
    <n v="1620"/>
    <n v="319"/>
    <n v="2718121"/>
    <x v="3"/>
    <d v="2020-02-28T00:00:00"/>
    <n v="3.9623576027736501E-2"/>
    <n v="0.80237741456166423"/>
    <n v="7.4279253940497862E-4"/>
    <s v="Moderate Risk"/>
  </r>
  <r>
    <s v="Guinea-Bissau"/>
    <n v="1954"/>
    <n v="26"/>
    <n v="803"/>
    <n v="1125"/>
    <n v="1972277"/>
    <x v="4"/>
    <d v="2020-03-25T00:00:00"/>
    <n v="1.3306038894575231E-2"/>
    <n v="0.41095189355168882"/>
    <n v="9.907330461187754E-4"/>
    <s v="Low Risk"/>
  </r>
  <r>
    <s v="Rwanda"/>
    <n v="1879"/>
    <n v="5"/>
    <n v="975"/>
    <n v="899"/>
    <n v="12981546"/>
    <x v="4"/>
    <d v="2020-03-14T00:00:00"/>
    <n v="2.6609898882384245E-3"/>
    <n v="0.51889302820649286"/>
    <n v="1.4474393111575461E-4"/>
    <s v="Low Risk"/>
  </r>
  <r>
    <s v="Iceland"/>
    <n v="1854"/>
    <n v="10"/>
    <n v="1823"/>
    <n v="21"/>
    <n v="341465"/>
    <x v="3"/>
    <d v="2020-02-28T00:00:00"/>
    <n v="5.3937432578209281E-3"/>
    <n v="0.98327939590075508"/>
    <n v="5.4295462199639788E-3"/>
    <s v="Low Risk"/>
  </r>
  <r>
    <s v="Namibia"/>
    <n v="1843"/>
    <n v="8"/>
    <n v="101"/>
    <n v="1734"/>
    <n v="2545264"/>
    <x v="4"/>
    <d v="2020-03-14T00:00:00"/>
    <n v="4.3407487791644059E-3"/>
    <n v="5.4801953336950621E-2"/>
    <n v="7.2408991758811663E-4"/>
    <s v="Low Risk"/>
  </r>
  <r>
    <s v="Sierra Leone"/>
    <n v="1783"/>
    <n v="66"/>
    <n v="1317"/>
    <n v="400"/>
    <n v="7992169"/>
    <x v="4"/>
    <d v="2020-03-31T00:00:00"/>
    <n v="3.7016264722378012E-2"/>
    <n v="0.73864273696017946"/>
    <n v="2.230933805328691E-4"/>
    <s v="Moderate Risk"/>
  </r>
  <r>
    <s v="Benin"/>
    <n v="1770"/>
    <n v="35"/>
    <n v="1036"/>
    <n v="699"/>
    <n v="12151976"/>
    <x v="4"/>
    <d v="2020-03-16T00:00:00"/>
    <n v="1.977401129943503E-2"/>
    <n v="0.58531073446327686"/>
    <n v="1.4565532387489903E-4"/>
    <s v="Low Risk"/>
  </r>
  <r>
    <s v="Mozambique"/>
    <n v="1701"/>
    <n v="11"/>
    <n v="0"/>
    <n v="1690"/>
    <n v="31333962"/>
    <x v="4"/>
    <d v="2020-03-22T00:00:00"/>
    <n v="6.4667842445620223E-3"/>
    <n v="0"/>
    <n v="5.4286144854583022E-5"/>
    <s v="Low Risk"/>
  </r>
  <r>
    <s v="Yemen"/>
    <n v="1691"/>
    <n v="483"/>
    <n v="833"/>
    <n v="375"/>
    <n v="29886897"/>
    <x v="2"/>
    <d v="2020-04-10T00:00:00"/>
    <n v="0.28562980484920164"/>
    <n v="0.49260792430514488"/>
    <n v="5.6579978844909859E-5"/>
    <s v="High Risk"/>
  </r>
  <r>
    <s v="New Zealand"/>
    <n v="1557"/>
    <n v="22"/>
    <n v="1514"/>
    <n v="21"/>
    <n v="5002100"/>
    <x v="5"/>
    <d v="2020-02-28T00:00:00"/>
    <n v="1.4129736673089274E-2"/>
    <n v="0.97238278741168915"/>
    <n v="3.112692669078987E-4"/>
    <s v="Low Risk"/>
  </r>
  <r>
    <s v="Suriname"/>
    <n v="1483"/>
    <n v="24"/>
    <n v="925"/>
    <n v="534"/>
    <n v="587154"/>
    <x v="1"/>
    <d v="2020-03-13T00:00:00"/>
    <n v="1.6183412002697236E-2"/>
    <n v="0.62373567093728932"/>
    <n v="2.5257428204525558E-3"/>
    <s v="Low Risk"/>
  </r>
  <r>
    <s v="Tunisia"/>
    <n v="1455"/>
    <n v="50"/>
    <n v="1157"/>
    <n v="248"/>
    <n v="11830801"/>
    <x v="4"/>
    <d v="2020-03-02T00:00:00"/>
    <n v="3.4364261168384883E-2"/>
    <n v="0.79518900343642607"/>
    <n v="1.2298406506879795E-4"/>
    <s v="Moderate Risk"/>
  </r>
  <r>
    <s v="Latvia"/>
    <n v="1219"/>
    <n v="31"/>
    <n v="1045"/>
    <n v="143"/>
    <n v="1883936"/>
    <x v="3"/>
    <d v="2020-03-02T00:00:00"/>
    <n v="2.5430680885972109E-2"/>
    <n v="0.85726004922067267"/>
    <n v="6.4704958130212494E-4"/>
    <s v="Moderate Risk"/>
  </r>
  <r>
    <s v="Uruguay"/>
    <n v="1202"/>
    <n v="35"/>
    <n v="951"/>
    <n v="216"/>
    <n v="3474956"/>
    <x v="1"/>
    <d v="2020-03-13T00:00:00"/>
    <n v="2.9118136439267885E-2"/>
    <n v="0.79118136439267883"/>
    <n v="3.4590366036289381E-4"/>
    <s v="Moderate Risk"/>
  </r>
  <r>
    <s v="Jordan"/>
    <n v="1176"/>
    <n v="11"/>
    <n v="1041"/>
    <n v="124"/>
    <n v="10213138"/>
    <x v="2"/>
    <d v="2020-03-02T00:00:00"/>
    <n v="9.3537414965986394E-3"/>
    <n v="0.88520408163265307"/>
    <n v="1.1514580533426651E-4"/>
    <s v="Low Risk"/>
  </r>
  <r>
    <s v="Liberia"/>
    <n v="1167"/>
    <n v="72"/>
    <n v="646"/>
    <n v="449"/>
    <n v="5068618"/>
    <x v="4"/>
    <d v="2020-03-16T00:00:00"/>
    <n v="6.1696658097686374E-2"/>
    <n v="0.55355612682090827"/>
    <n v="2.3024027456793942E-4"/>
    <s v="High Risk"/>
  </r>
  <r>
    <s v="Georgia"/>
    <n v="1137"/>
    <n v="16"/>
    <n v="922"/>
    <n v="199"/>
    <n v="3988368"/>
    <x v="2"/>
    <d v="2020-02-26T00:00:00"/>
    <n v="1.4072119613016711E-2"/>
    <n v="0.81090589270008795"/>
    <n v="2.8507900976038319E-4"/>
    <s v="Low Risk"/>
  </r>
  <r>
    <s v="Niger"/>
    <n v="1132"/>
    <n v="69"/>
    <n v="1027"/>
    <n v="36"/>
    <n v="24281433"/>
    <x v="4"/>
    <d v="2020-03-19T00:00:00"/>
    <n v="6.0954063604240286E-2"/>
    <n v="0.90724381625441697"/>
    <n v="4.6619983260460779E-5"/>
    <s v="High Risk"/>
  </r>
  <r>
    <s v="Uganda"/>
    <n v="1128"/>
    <n v="2"/>
    <n v="986"/>
    <n v="140"/>
    <n v="45867852"/>
    <x v="4"/>
    <d v="2020-03-22T00:00:00"/>
    <n v="1.7730496453900709E-3"/>
    <n v="0.87411347517730498"/>
    <n v="2.4592387714166339E-5"/>
    <s v="Low Risk"/>
  </r>
  <r>
    <s v="Burkina Faso"/>
    <n v="1100"/>
    <n v="53"/>
    <n v="926"/>
    <n v="121"/>
    <n v="20954852"/>
    <x v="4"/>
    <d v="2020-03-09T00:00:00"/>
    <n v="4.818181818181818E-2"/>
    <n v="0.8418181818181818"/>
    <n v="5.2493809071044739E-5"/>
    <s v="Moderate Risk"/>
  </r>
  <r>
    <s v="Cyprus"/>
    <n v="1060"/>
    <n v="19"/>
    <n v="852"/>
    <n v="189"/>
    <n v="1208238"/>
    <x v="2"/>
    <d v="2020-03-09T00:00:00"/>
    <n v="1.7924528301886792E-2"/>
    <n v="0.80377358490566042"/>
    <n v="8.7731059609116749E-4"/>
    <s v="Low Risk"/>
  </r>
  <r>
    <s v="Angola"/>
    <n v="950"/>
    <n v="41"/>
    <n v="242"/>
    <n v="667"/>
    <n v="32956300"/>
    <x v="4"/>
    <d v="2020-03-21T00:00:00"/>
    <n v="4.3157894736842103E-2"/>
    <n v="0.25473684210526315"/>
    <n v="2.8826051468156317E-5"/>
    <s v="Moderate Risk"/>
  </r>
  <r>
    <s v="Chad"/>
    <n v="922"/>
    <n v="75"/>
    <n v="810"/>
    <n v="37"/>
    <m/>
    <x v="4"/>
    <d v="2020-03-19T00:00:00"/>
    <n v="8.1344902386117135E-2"/>
    <n v="0.87852494577006512"/>
    <n v="0"/>
    <s v="High Risk"/>
  </r>
  <r>
    <s v="Andorra"/>
    <n v="907"/>
    <n v="52"/>
    <n v="803"/>
    <n v="52"/>
    <n v="77278"/>
    <x v="3"/>
    <d v="2020-03-02T00:00:00"/>
    <n v="5.7331863285556783E-2"/>
    <n v="0.88533627342888643"/>
    <n v="1.1736846191671627E-2"/>
    <s v="High Risk"/>
  </r>
  <r>
    <s v="Togo"/>
    <n v="874"/>
    <n v="18"/>
    <n v="607"/>
    <n v="249"/>
    <n v="8296582"/>
    <x v="4"/>
    <d v="2020-03-06T00:00:00"/>
    <n v="2.0594965675057208E-2"/>
    <n v="0.69450800915331812"/>
    <n v="1.0534458648151732E-4"/>
    <s v="Moderate Risk"/>
  </r>
  <r>
    <s v="Sao Tome and Principe"/>
    <n v="865"/>
    <n v="14"/>
    <n v="734"/>
    <n v="117"/>
    <n v="219544"/>
    <x v="4"/>
    <d v="2020-04-06T00:00:00"/>
    <n v="1.6184971098265895E-2"/>
    <n v="0.84855491329479771"/>
    <n v="3.9399846955507781E-3"/>
    <s v="Low Risk"/>
  </r>
  <r>
    <s v="Jamaica"/>
    <n v="853"/>
    <n v="10"/>
    <n v="714"/>
    <n v="129"/>
    <n v="2962478"/>
    <x v="0"/>
    <d v="2020-03-10T00:00:00"/>
    <n v="1.1723329425556858E-2"/>
    <n v="0.83704572098475971"/>
    <n v="2.8793462770018881E-4"/>
    <s v="Low Risk"/>
  </r>
  <r>
    <s v="Botswana"/>
    <n v="739"/>
    <n v="2"/>
    <n v="63"/>
    <n v="674"/>
    <n v="2356075"/>
    <x v="4"/>
    <d v="2020-03-30T00:00:00"/>
    <n v="2.7063599458728013E-3"/>
    <n v="8.5250338294993233E-2"/>
    <n v="3.1365724775314879E-4"/>
    <s v="Low Risk"/>
  </r>
  <r>
    <s v="Malta"/>
    <n v="701"/>
    <n v="9"/>
    <n v="665"/>
    <n v="27"/>
    <n v="441663"/>
    <x v="3"/>
    <d v="2020-03-07T00:00:00"/>
    <n v="1.2838801711840228E-2"/>
    <n v="0.94864479315263905"/>
    <n v="1.5871829879342395E-3"/>
    <s v="Low Risk"/>
  </r>
  <r>
    <s v="San Marino"/>
    <n v="699"/>
    <n v="42"/>
    <n v="657"/>
    <n v="0"/>
    <n v="33938"/>
    <x v="3"/>
    <d v="2020-02-27T00:00:00"/>
    <n v="6.0085836909871244E-2"/>
    <n v="0.93991416309012876"/>
    <n v="2.0596381637102954E-2"/>
    <s v="High Risk"/>
  </r>
  <r>
    <s v="Syria"/>
    <n v="674"/>
    <n v="40"/>
    <n v="0"/>
    <n v="634"/>
    <n v="17539600"/>
    <x v="2"/>
    <d v="2020-03-22T00:00:00"/>
    <n v="5.9347181008902079E-2"/>
    <n v="0"/>
    <n v="3.8427330155761816E-5"/>
    <s v="High Risk"/>
  </r>
  <r>
    <s v="Tanzania"/>
    <n v="509"/>
    <n v="21"/>
    <n v="183"/>
    <n v="305"/>
    <n v="59886383"/>
    <x v="4"/>
    <d v="2020-03-16T00:00:00"/>
    <n v="4.1257367387033402E-2"/>
    <n v="0.35952848722986247"/>
    <n v="8.4994279918358071E-6"/>
    <s v="Moderate Risk"/>
  </r>
  <r>
    <s v="Lesotho"/>
    <n v="505"/>
    <n v="12"/>
    <n v="128"/>
    <n v="365"/>
    <n v="2143943"/>
    <x v="4"/>
    <d v="2020-05-13T00:00:00"/>
    <n v="2.3762376237623763E-2"/>
    <n v="0.25346534653465347"/>
    <n v="2.3554730699463559E-4"/>
    <s v="Moderate Risk"/>
  </r>
  <r>
    <s v="Taiwan"/>
    <n v="462"/>
    <n v="7"/>
    <n v="440"/>
    <n v="15"/>
    <n v="23821199"/>
    <x v="2"/>
    <d v="2020-01-21T00:00:00"/>
    <n v="1.5151515151515152E-2"/>
    <n v="0.95238095238095233"/>
    <n v="1.9394489756791838E-5"/>
    <s v="Low Risk"/>
  </r>
  <r>
    <s v="Vietnam"/>
    <n v="431"/>
    <n v="0"/>
    <n v="365"/>
    <n v="66"/>
    <n v="97425470"/>
    <x v="2"/>
    <d v="2020-01-23T00:00:00"/>
    <n v="0"/>
    <n v="0.84686774941995357"/>
    <n v="4.4238944908348918E-6"/>
    <s v="Low Risk"/>
  </r>
  <r>
    <s v="Guyana"/>
    <n v="389"/>
    <n v="20"/>
    <n v="181"/>
    <n v="188"/>
    <n v="786936"/>
    <x v="1"/>
    <d v="2020-03-12T00:00:00"/>
    <n v="5.1413881748071981E-2"/>
    <n v="0.4652956298200514"/>
    <n v="4.943222828794209E-4"/>
    <s v="High Risk"/>
  </r>
  <r>
    <s v="Bahamas"/>
    <n v="382"/>
    <n v="11"/>
    <n v="91"/>
    <n v="280"/>
    <n v="393616"/>
    <x v="0"/>
    <d v="2020-03-15T00:00:00"/>
    <n v="2.8795811518324606E-2"/>
    <n v="0.23821989528795812"/>
    <n v="9.7048900451201169E-4"/>
    <s v="Moderate Risk"/>
  </r>
  <r>
    <s v="Burundi"/>
    <n v="378"/>
    <n v="1"/>
    <n v="301"/>
    <n v="76"/>
    <n v="11922216"/>
    <x v="4"/>
    <d v="2020-03-31T00:00:00"/>
    <n v="2.6455026455026454E-3"/>
    <n v="0.79629629629629628"/>
    <n v="3.1705515149197092E-5"/>
    <s v="Low Risk"/>
  </r>
  <r>
    <s v="Comoros"/>
    <n v="354"/>
    <n v="7"/>
    <n v="328"/>
    <n v="19"/>
    <n v="871326"/>
    <x v="4"/>
    <d v="2020-04-30T00:00:00"/>
    <n v="1.977401129943503E-2"/>
    <n v="0.92655367231638419"/>
    <n v="4.0627732903643414E-4"/>
    <s v="Low Risk"/>
  </r>
  <r>
    <s v="Myanmar"/>
    <n v="350"/>
    <n v="6"/>
    <n v="292"/>
    <n v="52"/>
    <n v="54446389"/>
    <x v="2"/>
    <d v="2020-03-23T00:00:00"/>
    <n v="1.7142857142857144E-2"/>
    <n v="0.8342857142857143"/>
    <n v="6.4283418318155129E-6"/>
    <s v="Low Risk"/>
  </r>
  <r>
    <s v="Mauritius"/>
    <n v="344"/>
    <n v="10"/>
    <n v="332"/>
    <n v="2"/>
    <n v="1271985"/>
    <x v="4"/>
    <d v="2020-03-18T00:00:00"/>
    <n v="2.9069767441860465E-2"/>
    <n v="0.96511627906976749"/>
    <n v="2.7044344076384549E-4"/>
    <s v="Moderate Risk"/>
  </r>
  <r>
    <s v="Gambia"/>
    <n v="326"/>
    <n v="8"/>
    <n v="66"/>
    <n v="252"/>
    <n v="2422754"/>
    <x v="4"/>
    <d v="2020-03-17T00:00:00"/>
    <n v="2.4539877300613498E-2"/>
    <n v="0.20245398773006135"/>
    <n v="1.345576150116768E-4"/>
    <s v="Moderate Risk"/>
  </r>
  <r>
    <s v="Mongolia"/>
    <n v="289"/>
    <n v="0"/>
    <n v="222"/>
    <n v="67"/>
    <n v="3283344"/>
    <x v="2"/>
    <d v="2020-03-10T00:00:00"/>
    <n v="0"/>
    <n v="0.76816608996539792"/>
    <n v="8.8020018615167948E-5"/>
    <s v="Low Risk"/>
  </r>
  <r>
    <s v="Eritrea"/>
    <n v="265"/>
    <n v="0"/>
    <n v="191"/>
    <n v="74"/>
    <n v="3551175"/>
    <x v="4"/>
    <d v="2020-03-21T00:00:00"/>
    <n v="0"/>
    <n v="0.72075471698113203"/>
    <n v="7.4623188099713479E-5"/>
    <s v="Low Risk"/>
  </r>
  <r>
    <s v="Cambodia"/>
    <n v="226"/>
    <n v="0"/>
    <n v="147"/>
    <n v="79"/>
    <n v="16741375"/>
    <x v="2"/>
    <d v="2020-01-27T00:00:00"/>
    <n v="0"/>
    <n v="0.65044247787610621"/>
    <n v="1.349948854260776E-5"/>
    <s v="Low Risk"/>
  </r>
  <r>
    <s v="Trinidad and Tobago"/>
    <n v="148"/>
    <n v="8"/>
    <n v="128"/>
    <n v="12"/>
    <n v="1399950"/>
    <x v="0"/>
    <d v="2020-03-12T00:00:00"/>
    <n v="5.4054054054054057E-2"/>
    <n v="0.86486486486486491"/>
    <n v="1.0571806135933426E-4"/>
    <s v="High Risk"/>
  </r>
  <r>
    <s v="Brunei"/>
    <n v="141"/>
    <n v="3"/>
    <n v="138"/>
    <n v="0"/>
    <n v="437893"/>
    <x v="2"/>
    <d v="2020-03-09T00:00:00"/>
    <n v="2.1276595744680851E-2"/>
    <n v="0.97872340425531912"/>
    <n v="3.2199646945715047E-4"/>
    <s v="Moderate Risk"/>
  </r>
  <r>
    <s v="Monaco"/>
    <n v="116"/>
    <n v="4"/>
    <n v="104"/>
    <n v="8"/>
    <n v="39270"/>
    <x v="3"/>
    <d v="2020-02-29T00:00:00"/>
    <n v="3.4482758620689655E-2"/>
    <n v="0.89655172413793105"/>
    <n v="2.9539088362617776E-3"/>
    <s v="Moderate Risk"/>
  </r>
  <r>
    <s v="Seychelles"/>
    <n v="114"/>
    <n v="0"/>
    <n v="39"/>
    <n v="75"/>
    <n v="98408"/>
    <x v="4"/>
    <d v="2020-03-14T00:00:00"/>
    <n v="0"/>
    <n v="0.34210526315789475"/>
    <n v="1.158442403056662E-3"/>
    <s v="Low Risk"/>
  </r>
  <r>
    <s v="Barbados"/>
    <n v="110"/>
    <n v="7"/>
    <n v="94"/>
    <n v="9"/>
    <n v="287411"/>
    <x v="0"/>
    <d v="2020-03-17T00:00:00"/>
    <n v="6.363636363636363E-2"/>
    <n v="0.8545454545454545"/>
    <n v="3.8272717467320317E-4"/>
    <s v="High Risk"/>
  </r>
  <r>
    <s v="Bhutan"/>
    <n v="99"/>
    <n v="0"/>
    <n v="86"/>
    <n v="13"/>
    <n v="772443"/>
    <x v="2"/>
    <d v="2020-03-06T00:00:00"/>
    <n v="0"/>
    <n v="0.86868686868686873"/>
    <n v="1.2816479662577045E-4"/>
    <s v="Low Risk"/>
  </r>
  <r>
    <s v="Antigua and Barbuda"/>
    <n v="86"/>
    <n v="3"/>
    <n v="65"/>
    <n v="18"/>
    <n v="98010"/>
    <x v="0"/>
    <d v="2020-03-13T00:00:00"/>
    <n v="3.4883720930232558E-2"/>
    <n v="0.7558139534883721"/>
    <n v="8.7746148352208962E-4"/>
    <s v="Moderate Risk"/>
  </r>
  <r>
    <s v="Liechtenstein"/>
    <n v="86"/>
    <n v="1"/>
    <n v="81"/>
    <n v="4"/>
    <n v="38139"/>
    <x v="3"/>
    <d v="2020-03-03T00:00:00"/>
    <n v="1.1627906976744186E-2"/>
    <n v="0.94186046511627908"/>
    <n v="2.2549096725136999E-3"/>
    <s v="Low Risk"/>
  </r>
  <r>
    <s v="Papua New Guinea"/>
    <n v="62"/>
    <n v="0"/>
    <n v="11"/>
    <n v="51"/>
    <n v="8963009"/>
    <x v="5"/>
    <d v="2020-03-20T00:00:00"/>
    <n v="0"/>
    <n v="0.17741935483870969"/>
    <n v="6.9173198420307291E-6"/>
    <s v="Low Risk"/>
  </r>
  <r>
    <s v="Saint Vincent and the Grenadines"/>
    <n v="52"/>
    <n v="0"/>
    <n v="39"/>
    <n v="13"/>
    <n v="104000"/>
    <x v="0"/>
    <d v="2020-03-11T00:00:00"/>
    <n v="0"/>
    <n v="0.75"/>
    <n v="5.0000000000000001E-4"/>
    <s v="Low Risk"/>
  </r>
  <r>
    <s v="Belize"/>
    <n v="48"/>
    <n v="2"/>
    <n v="26"/>
    <n v="20"/>
    <n v="398312"/>
    <x v="0"/>
    <d v="2020-03-23T00:00:00"/>
    <n v="4.1666666666666664E-2"/>
    <n v="0.54166666666666663"/>
    <n v="1.2050854606439174E-4"/>
    <s v="Moderate Risk"/>
  </r>
  <r>
    <s v="Fiji"/>
    <n v="27"/>
    <n v="0"/>
    <n v="18"/>
    <n v="9"/>
    <n v="897095"/>
    <x v="5"/>
    <d v="2020-03-19T00:00:00"/>
    <n v="0"/>
    <n v="0.66666666666666663"/>
    <n v="3.0097146901944609E-5"/>
    <s v="Low Risk"/>
  </r>
  <r>
    <s v="Saint Lucia"/>
    <n v="24"/>
    <n v="0"/>
    <n v="22"/>
    <n v="2"/>
    <n v="183712"/>
    <x v="0"/>
    <d v="2020-03-13T00:00:00"/>
    <n v="0"/>
    <n v="0.91666666666666663"/>
    <n v="1.306392614527086E-4"/>
    <s v="Low Risk"/>
  </r>
  <r>
    <s v="Timor-Leste"/>
    <n v="24"/>
    <n v="0"/>
    <n v="0"/>
    <n v="24"/>
    <n v="1320812"/>
    <x v="2"/>
    <d v="2020-03-21T00:00:00"/>
    <n v="0"/>
    <n v="0"/>
    <n v="1.8170640484792688E-5"/>
    <s v="Low Risk"/>
  </r>
  <r>
    <s v="Grenada"/>
    <n v="23"/>
    <n v="0"/>
    <n v="23"/>
    <n v="0"/>
    <n v="112576"/>
    <x v="0"/>
    <d v="2020-03-22T00:00:00"/>
    <n v="0"/>
    <n v="1"/>
    <n v="2.0430642410460489E-4"/>
    <s v="Low Risk"/>
  </r>
  <r>
    <s v="Laos"/>
    <n v="20"/>
    <n v="0"/>
    <n v="19"/>
    <n v="1"/>
    <n v="7285750"/>
    <x v="2"/>
    <d v="2020-03-24T00:00:00"/>
    <n v="0"/>
    <n v="0.95"/>
    <n v="2.7450845829187114E-6"/>
    <s v="Low Risk"/>
  </r>
  <r>
    <s v="Dominica"/>
    <n v="18"/>
    <n v="0"/>
    <n v="18"/>
    <n v="0"/>
    <n v="72004"/>
    <x v="0"/>
    <d v="2020-03-22T00:00:00"/>
    <n v="0"/>
    <n v="1"/>
    <n v="2.4998611188267316E-4"/>
    <s v="Low Risk"/>
  </r>
  <r>
    <s v="Saint Kitts and Nevis"/>
    <n v="17"/>
    <n v="0"/>
    <n v="15"/>
    <n v="2"/>
    <n v="53237"/>
    <x v="0"/>
    <d v="2020-03-24T00:00:00"/>
    <n v="0"/>
    <n v="0.88235294117647056"/>
    <n v="3.1932678400360654E-4"/>
    <s v="Low Risk"/>
  </r>
  <r>
    <s v="Greenland"/>
    <n v="14"/>
    <n v="0"/>
    <n v="13"/>
    <n v="1"/>
    <n v="56780"/>
    <x v="0"/>
    <d v="2020-03-08T00:00:00"/>
    <n v="0"/>
    <n v="0.9285714285714286"/>
    <n v="2.4656569214512151E-4"/>
    <s v="Low Risk"/>
  </r>
  <r>
    <s v="Holy See"/>
    <n v="12"/>
    <n v="0"/>
    <n v="12"/>
    <n v="0"/>
    <n v="528"/>
    <x v="3"/>
    <d v="2020-03-22T00:00:00"/>
    <n v="0"/>
    <n v="1"/>
    <n v="2.2727272727272728E-2"/>
    <s v="Low Risk"/>
  </r>
  <r>
    <s v="Western Sahara"/>
    <n v="10"/>
    <n v="1"/>
    <n v="8"/>
    <n v="1"/>
    <n v="598682"/>
    <x v="4"/>
    <d v="2020-04-04T00:00:00"/>
    <n v="0.1"/>
    <n v="0.8"/>
    <n v="1.6703358377235327E-5"/>
    <s v="High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091AB-BF93-46ED-9E42-58A205B4101C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4"/>
        <item x="2"/>
        <item x="5"/>
        <item x="3"/>
        <item x="0"/>
        <item x="1"/>
        <item t="default"/>
      </items>
    </pivotField>
    <pivotField numFmtId="164" showAll="0"/>
    <pivotField numFmtId="10" showAll="0"/>
    <pivotField numFmtId="10" showAll="0"/>
    <pivotField numFmtId="10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nfirmed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91967-C57A-4F78-9D67-EF94A97FCEB3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5"/>
        <item x="3"/>
        <item x="0"/>
        <item x="1"/>
        <item t="default"/>
      </items>
    </pivotField>
    <pivotField numFmtId="164" showAll="0"/>
    <pivotField numFmtId="10" showAll="0"/>
    <pivotField dataField="1" numFmtId="10" showAll="0"/>
    <pivotField numFmtId="10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ecovery Rate (%)" fld="9" subtotal="average" baseField="6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topLeftCell="F1" workbookViewId="0">
      <selection activeCell="Q83" sqref="Q83"/>
    </sheetView>
  </sheetViews>
  <sheetFormatPr defaultRowHeight="14.4" x14ac:dyDescent="0.3"/>
  <cols>
    <col min="1" max="1" width="22.109375" customWidth="1"/>
    <col min="2" max="2" width="12.88671875" customWidth="1"/>
    <col min="3" max="3" width="12.33203125" customWidth="1"/>
    <col min="4" max="4" width="12.88671875" customWidth="1"/>
    <col min="6" max="6" width="15.77734375" customWidth="1"/>
    <col min="7" max="7" width="15.6640625" customWidth="1"/>
    <col min="8" max="8" width="25.77734375" customWidth="1"/>
    <col min="9" max="9" width="16.21875" customWidth="1"/>
    <col min="10" max="10" width="17.6640625" customWidth="1"/>
    <col min="11" max="11" width="18.6640625" customWidth="1"/>
    <col min="12" max="12" width="14.21875" customWidth="1"/>
    <col min="17" max="17" width="1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191</v>
      </c>
      <c r="B2" s="3">
        <v>4290259</v>
      </c>
      <c r="C2" s="3">
        <v>148011</v>
      </c>
      <c r="D2" s="3">
        <v>1325804</v>
      </c>
      <c r="E2" s="3">
        <v>2816444</v>
      </c>
      <c r="F2" s="3">
        <v>331198130</v>
      </c>
      <c r="G2" s="3" t="s">
        <v>21</v>
      </c>
      <c r="H2" s="4">
        <v>43851</v>
      </c>
      <c r="I2" s="5">
        <f>IF(B2=0,0,C2/B2)</f>
        <v>3.4499315775574385E-2</v>
      </c>
      <c r="J2" s="5">
        <f>IF(B2=0,0,D2/B2)</f>
        <v>0.30902656459668287</v>
      </c>
      <c r="K2" s="5">
        <f>IF(F2=0,0,B2/F2)</f>
        <v>1.2953753694201112E-2</v>
      </c>
      <c r="L2" s="3" t="str">
        <f>_xlfn.IFS(I2&gt;0.05,"High Risk",I2&gt;=0.02,"Moderate Risk",I2&lt;0.02,"Low Risk")</f>
        <v>Moderate Risk</v>
      </c>
    </row>
    <row r="3" spans="1:12" x14ac:dyDescent="0.3">
      <c r="A3" s="3" t="s">
        <v>41</v>
      </c>
      <c r="B3" s="3">
        <v>2442375</v>
      </c>
      <c r="C3" s="3">
        <v>87618</v>
      </c>
      <c r="D3" s="3">
        <v>1846641</v>
      </c>
      <c r="E3" s="3">
        <v>508116</v>
      </c>
      <c r="F3" s="3">
        <v>212710692</v>
      </c>
      <c r="G3" s="3" t="s">
        <v>23</v>
      </c>
      <c r="H3" s="4">
        <v>43887</v>
      </c>
      <c r="I3" s="5">
        <f>IF(B3=0,0,C3/B3)</f>
        <v>3.5874097957930291E-2</v>
      </c>
      <c r="J3" s="5">
        <f>IF(B3=0,0,D3/B3)</f>
        <v>0.75608413941348074</v>
      </c>
      <c r="K3" s="5">
        <f>IF(F3=0,0,B3/F3)</f>
        <v>1.1482144959596107E-2</v>
      </c>
      <c r="L3" s="3" t="str">
        <f>_xlfn.IFS(I3&gt;0.05,"High Risk",I3&gt;=0.02,"Moderate Risk",I3&lt;0.02,"Low Risk")</f>
        <v>Moderate Risk</v>
      </c>
    </row>
    <row r="4" spans="1:12" x14ac:dyDescent="0.3">
      <c r="A4" s="3" t="s">
        <v>97</v>
      </c>
      <c r="B4" s="3">
        <v>1480073</v>
      </c>
      <c r="C4" s="3">
        <v>33408</v>
      </c>
      <c r="D4" s="3">
        <v>951166</v>
      </c>
      <c r="E4" s="3">
        <v>495499</v>
      </c>
      <c r="F4" s="3">
        <v>1381344997</v>
      </c>
      <c r="G4" s="3" t="s">
        <v>13</v>
      </c>
      <c r="H4" s="4">
        <v>43860</v>
      </c>
      <c r="I4" s="5">
        <f>IF(B4=0,0,C4/B4)</f>
        <v>2.2571859631247918E-2</v>
      </c>
      <c r="J4" s="5">
        <f>IF(B4=0,0,D4/B4)</f>
        <v>0.64264803154979522</v>
      </c>
      <c r="K4" s="5">
        <f>IF(F4=0,0,B4/F4)</f>
        <v>1.0714723716482247E-3</v>
      </c>
      <c r="L4" s="3" t="str">
        <f>_xlfn.IFS(I4&gt;0.05,"High Risk",I4&gt;=0.02,"Moderate Risk",I4&lt;0.02,"Low Risk")</f>
        <v>Moderate Risk</v>
      </c>
    </row>
    <row r="5" spans="1:12" x14ac:dyDescent="0.3">
      <c r="A5" s="3" t="s">
        <v>156</v>
      </c>
      <c r="B5" s="3">
        <v>816680</v>
      </c>
      <c r="C5" s="3">
        <v>13334</v>
      </c>
      <c r="D5" s="3">
        <v>602249</v>
      </c>
      <c r="E5" s="3">
        <v>201097</v>
      </c>
      <c r="F5" s="3">
        <v>145940924</v>
      </c>
      <c r="G5" s="3" t="s">
        <v>15</v>
      </c>
      <c r="H5" s="4">
        <v>43861</v>
      </c>
      <c r="I5" s="5">
        <f>IF(B5=0,0,C5/B5)</f>
        <v>1.6327080374197972E-2</v>
      </c>
      <c r="J5" s="5">
        <f>IF(B5=0,0,D5/B5)</f>
        <v>0.73743571533525987</v>
      </c>
      <c r="K5" s="5">
        <f>IF(F5=0,0,B5/F5)</f>
        <v>5.5959629253820543E-3</v>
      </c>
      <c r="L5" s="3" t="str">
        <f>_xlfn.IFS(I5&gt;0.05,"High Risk",I5&gt;=0.02,"Moderate Risk",I5&lt;0.02,"Low Risk")</f>
        <v>Low Risk</v>
      </c>
    </row>
    <row r="6" spans="1:12" x14ac:dyDescent="0.3">
      <c r="A6" s="3" t="s">
        <v>172</v>
      </c>
      <c r="B6" s="3">
        <v>452529</v>
      </c>
      <c r="C6" s="3">
        <v>7067</v>
      </c>
      <c r="D6" s="3">
        <v>274925</v>
      </c>
      <c r="E6" s="3">
        <v>170537</v>
      </c>
      <c r="F6" s="3">
        <v>59381566</v>
      </c>
      <c r="G6" s="3" t="s">
        <v>17</v>
      </c>
      <c r="H6" s="4">
        <v>43895</v>
      </c>
      <c r="I6" s="5">
        <f>IF(B6=0,0,C6/B6)</f>
        <v>1.5616678710093718E-2</v>
      </c>
      <c r="J6" s="5">
        <f>IF(B6=0,0,D6/B6)</f>
        <v>0.60753012514115112</v>
      </c>
      <c r="K6" s="5">
        <f>IF(F6=0,0,B6/F6)</f>
        <v>7.6206983157028904E-3</v>
      </c>
      <c r="L6" s="3" t="str">
        <f>_xlfn.IFS(I6&gt;0.05,"High Risk",I6&gt;=0.02,"Moderate Risk",I6&lt;0.02,"Low Risk")</f>
        <v>Low Risk</v>
      </c>
    </row>
    <row r="7" spans="1:12" x14ac:dyDescent="0.3">
      <c r="A7" s="3" t="s">
        <v>129</v>
      </c>
      <c r="B7" s="3">
        <v>395489</v>
      </c>
      <c r="C7" s="3">
        <v>44022</v>
      </c>
      <c r="D7" s="3">
        <v>303810</v>
      </c>
      <c r="E7" s="3">
        <v>47657</v>
      </c>
      <c r="F7" s="3">
        <v>129066160</v>
      </c>
      <c r="G7" s="3" t="s">
        <v>21</v>
      </c>
      <c r="H7" s="4">
        <v>43889</v>
      </c>
      <c r="I7" s="5">
        <f>IF(B7=0,0,C7/B7)</f>
        <v>0.11131030193001576</v>
      </c>
      <c r="J7" s="5">
        <f>IF(B7=0,0,D7/B7)</f>
        <v>0.7681882429094109</v>
      </c>
      <c r="K7" s="5">
        <f>IF(F7=0,0,B7/F7)</f>
        <v>3.0642346529872739E-3</v>
      </c>
      <c r="L7" s="3" t="str">
        <f>_xlfn.IFS(I7&gt;0.05,"High Risk",I7&gt;=0.02,"Moderate Risk",I7&lt;0.02,"Low Risk")</f>
        <v>High Risk</v>
      </c>
    </row>
    <row r="8" spans="1:12" x14ac:dyDescent="0.3">
      <c r="A8" s="3" t="s">
        <v>150</v>
      </c>
      <c r="B8" s="3">
        <v>389717</v>
      </c>
      <c r="C8" s="3">
        <v>18418</v>
      </c>
      <c r="D8" s="3">
        <v>272547</v>
      </c>
      <c r="E8" s="3">
        <v>98752</v>
      </c>
      <c r="F8" s="3">
        <v>33016319</v>
      </c>
      <c r="G8" s="3" t="s">
        <v>23</v>
      </c>
      <c r="H8" s="4">
        <v>43896</v>
      </c>
      <c r="I8" s="5">
        <f>IF(B8=0,0,C8/B8)</f>
        <v>4.7259934773181564E-2</v>
      </c>
      <c r="J8" s="5">
        <f>IF(B8=0,0,D8/B8)</f>
        <v>0.69934593564047753</v>
      </c>
      <c r="K8" s="5">
        <f>IF(F8=0,0,B8/F8)</f>
        <v>1.180376891803111E-2</v>
      </c>
      <c r="L8" s="3" t="str">
        <f>_xlfn.IFS(I8&gt;0.05,"High Risk",I8&gt;=0.02,"Moderate Risk",I8&lt;0.02,"Low Risk")</f>
        <v>Moderate Risk</v>
      </c>
    </row>
    <row r="9" spans="1:12" x14ac:dyDescent="0.3">
      <c r="A9" s="3" t="s">
        <v>53</v>
      </c>
      <c r="B9" s="3">
        <v>347923</v>
      </c>
      <c r="C9" s="3">
        <v>9187</v>
      </c>
      <c r="D9" s="3">
        <v>319954</v>
      </c>
      <c r="E9" s="3">
        <v>18782</v>
      </c>
      <c r="F9" s="3">
        <v>19132514</v>
      </c>
      <c r="G9" s="3" t="s">
        <v>23</v>
      </c>
      <c r="H9" s="4">
        <v>43893</v>
      </c>
      <c r="I9" s="5">
        <f>IF(B9=0,0,C9/B9)</f>
        <v>2.6405267832250241E-2</v>
      </c>
      <c r="J9" s="5">
        <f>IF(B9=0,0,D9/B9)</f>
        <v>0.91961152323933748</v>
      </c>
      <c r="K9" s="5">
        <f>IF(F9=0,0,B9/F9)</f>
        <v>1.8184907639424697E-2</v>
      </c>
      <c r="L9" s="3" t="str">
        <f>_xlfn.IFS(I9&gt;0.05,"High Risk",I9&gt;=0.02,"Moderate Risk",I9&lt;0.02,"Low Risk")</f>
        <v>Moderate Risk</v>
      </c>
    </row>
    <row r="10" spans="1:12" x14ac:dyDescent="0.3">
      <c r="A10" s="3" t="s">
        <v>195</v>
      </c>
      <c r="B10" s="3">
        <v>301708</v>
      </c>
      <c r="C10" s="3">
        <v>45844</v>
      </c>
      <c r="D10" s="3">
        <v>1437</v>
      </c>
      <c r="E10" s="3">
        <v>254427</v>
      </c>
      <c r="F10" s="3">
        <v>67922029</v>
      </c>
      <c r="G10" s="3" t="s">
        <v>15</v>
      </c>
      <c r="H10" s="4">
        <v>43861</v>
      </c>
      <c r="I10" s="5">
        <f>IF(B10=0,0,C10/B10)</f>
        <v>0.15194824134593712</v>
      </c>
      <c r="J10" s="5">
        <f>IF(B10=0,0,D10/B10)</f>
        <v>4.7628833176448756E-3</v>
      </c>
      <c r="K10" s="5">
        <f>IF(F10=0,0,B10/F10)</f>
        <v>4.4419756659507328E-3</v>
      </c>
      <c r="L10" s="3" t="str">
        <f>_xlfn.IFS(I10&gt;0.05,"High Risk",I10&gt;=0.02,"Moderate Risk",I10&lt;0.02,"Low Risk")</f>
        <v>High Risk</v>
      </c>
    </row>
    <row r="11" spans="1:12" x14ac:dyDescent="0.3">
      <c r="A11" s="3" t="s">
        <v>99</v>
      </c>
      <c r="B11" s="3">
        <v>293606</v>
      </c>
      <c r="C11" s="3">
        <v>15912</v>
      </c>
      <c r="D11" s="3">
        <v>255144</v>
      </c>
      <c r="E11" s="3">
        <v>22550</v>
      </c>
      <c r="F11" s="3">
        <v>84097623</v>
      </c>
      <c r="G11" s="3" t="s">
        <v>13</v>
      </c>
      <c r="H11" s="4">
        <v>43880</v>
      </c>
      <c r="I11" s="5">
        <f>IF(B11=0,0,C11/B11)</f>
        <v>5.4195077757266542E-2</v>
      </c>
      <c r="J11" s="5">
        <f>IF(B11=0,0,D11/B11)</f>
        <v>0.86900131468702957</v>
      </c>
      <c r="K11" s="5">
        <f>IF(F11=0,0,B11/F11)</f>
        <v>3.4912520654715772E-3</v>
      </c>
      <c r="L11" s="3" t="str">
        <f>_xlfn.IFS(I11&gt;0.05,"High Risk",I11&gt;=0.02,"Moderate Risk",I11&lt;0.02,"Low Risk")</f>
        <v>High Risk</v>
      </c>
    </row>
    <row r="12" spans="1:12" x14ac:dyDescent="0.3">
      <c r="A12" s="3" t="s">
        <v>146</v>
      </c>
      <c r="B12" s="3">
        <v>274289</v>
      </c>
      <c r="C12" s="3">
        <v>5842</v>
      </c>
      <c r="D12" s="3">
        <v>241026</v>
      </c>
      <c r="E12" s="3">
        <v>27421</v>
      </c>
      <c r="F12" s="3">
        <v>221295851</v>
      </c>
      <c r="G12" s="3" t="s">
        <v>13</v>
      </c>
      <c r="H12" s="4">
        <v>43887</v>
      </c>
      <c r="I12" s="5">
        <f>IF(B12=0,0,C12/B12)</f>
        <v>2.1298703192618004E-2</v>
      </c>
      <c r="J12" s="5">
        <f>IF(B12=0,0,D12/B12)</f>
        <v>0.8787300985456945</v>
      </c>
      <c r="K12" s="5">
        <f>IF(F12=0,0,B12/F12)</f>
        <v>1.2394674313166406E-3</v>
      </c>
      <c r="L12" s="3" t="str">
        <f>_xlfn.IFS(I12&gt;0.05,"High Risk",I12&gt;=0.02,"Moderate Risk",I12&lt;0.02,"Low Risk")</f>
        <v>Moderate Risk</v>
      </c>
    </row>
    <row r="13" spans="1:12" x14ac:dyDescent="0.3">
      <c r="A13" s="3" t="s">
        <v>175</v>
      </c>
      <c r="B13" s="3">
        <v>272421</v>
      </c>
      <c r="C13" s="3">
        <v>28432</v>
      </c>
      <c r="D13" s="3">
        <v>150376</v>
      </c>
      <c r="E13" s="3">
        <v>93613</v>
      </c>
      <c r="F13" s="3">
        <v>46756648</v>
      </c>
      <c r="G13" s="3" t="s">
        <v>15</v>
      </c>
      <c r="H13" s="4">
        <v>43861</v>
      </c>
      <c r="I13" s="5">
        <f>IF(B13=0,0,C13/B13)</f>
        <v>0.10436787178668311</v>
      </c>
      <c r="J13" s="5">
        <f>IF(B13=0,0,D13/B13)</f>
        <v>0.55199856105072664</v>
      </c>
      <c r="K13" s="5">
        <f>IF(F13=0,0,B13/F13)</f>
        <v>5.8263586388827534E-3</v>
      </c>
      <c r="L13" s="3" t="str">
        <f>_xlfn.IFS(I13&gt;0.05,"High Risk",I13&gt;=0.02,"Moderate Risk",I13&lt;0.02,"Low Risk")</f>
        <v>High Risk</v>
      </c>
    </row>
    <row r="14" spans="1:12" x14ac:dyDescent="0.3">
      <c r="A14" s="3" t="s">
        <v>163</v>
      </c>
      <c r="B14" s="3">
        <v>268934</v>
      </c>
      <c r="C14" s="3">
        <v>2760</v>
      </c>
      <c r="D14" s="3">
        <v>222936</v>
      </c>
      <c r="E14" s="3">
        <v>43238</v>
      </c>
      <c r="F14" s="3">
        <v>34865919</v>
      </c>
      <c r="G14" s="3" t="s">
        <v>13</v>
      </c>
      <c r="H14" s="4">
        <v>43892</v>
      </c>
      <c r="I14" s="5">
        <f>IF(B14=0,0,C14/B14)</f>
        <v>1.0262741044271086E-2</v>
      </c>
      <c r="J14" s="5">
        <f>IF(B14=0,0,D14/B14)</f>
        <v>0.8289617526976879</v>
      </c>
      <c r="K14" s="5">
        <f>IF(F14=0,0,B14/F14)</f>
        <v>7.7133776396371484E-3</v>
      </c>
      <c r="L14" s="3" t="str">
        <f>_xlfn.IFS(I14&gt;0.05,"High Risk",I14&gt;=0.02,"Moderate Risk",I14&lt;0.02,"Low Risk")</f>
        <v>Low Risk</v>
      </c>
    </row>
    <row r="15" spans="1:12" x14ac:dyDescent="0.3">
      <c r="A15" s="3" t="s">
        <v>55</v>
      </c>
      <c r="B15" s="3">
        <v>257101</v>
      </c>
      <c r="C15" s="3">
        <v>8777</v>
      </c>
      <c r="D15" s="3">
        <v>131161</v>
      </c>
      <c r="E15" s="3">
        <v>117163</v>
      </c>
      <c r="F15" s="3">
        <v>50936262</v>
      </c>
      <c r="G15" s="3" t="s">
        <v>23</v>
      </c>
      <c r="H15" s="4">
        <v>43896</v>
      </c>
      <c r="I15" s="5">
        <f>IF(B15=0,0,C15/B15)</f>
        <v>3.4138334740043796E-2</v>
      </c>
      <c r="J15" s="5">
        <f>IF(B15=0,0,D15/B15)</f>
        <v>0.51015359722443709</v>
      </c>
      <c r="K15" s="5">
        <f>IF(F15=0,0,B15/F15)</f>
        <v>5.0475042711222119E-3</v>
      </c>
      <c r="L15" s="3" t="str">
        <f>_xlfn.IFS(I15&gt;0.05,"High Risk",I15&gt;=0.02,"Moderate Risk",I15&lt;0.02,"Low Risk")</f>
        <v>Moderate Risk</v>
      </c>
    </row>
    <row r="16" spans="1:12" x14ac:dyDescent="0.3">
      <c r="A16" s="3" t="s">
        <v>103</v>
      </c>
      <c r="B16" s="3">
        <v>246286</v>
      </c>
      <c r="C16" s="3">
        <v>35112</v>
      </c>
      <c r="D16" s="3">
        <v>198593</v>
      </c>
      <c r="E16" s="3">
        <v>12581</v>
      </c>
      <c r="F16" s="3">
        <v>60452568</v>
      </c>
      <c r="G16" s="3" t="s">
        <v>15</v>
      </c>
      <c r="H16" s="4">
        <v>43861</v>
      </c>
      <c r="I16" s="5">
        <f>IF(B16=0,0,C16/B16)</f>
        <v>0.14256595990027854</v>
      </c>
      <c r="J16" s="5">
        <f>IF(B16=0,0,D16/B16)</f>
        <v>0.80635115272488078</v>
      </c>
      <c r="K16" s="5">
        <f>IF(F16=0,0,B16/F16)</f>
        <v>4.0740370202304726E-3</v>
      </c>
      <c r="L16" s="3" t="str">
        <f>_xlfn.IFS(I16&gt;0.05,"High Risk",I16&gt;=0.02,"Moderate Risk",I16&lt;0.02,"Low Risk")</f>
        <v>High Risk</v>
      </c>
    </row>
    <row r="17" spans="1:12" x14ac:dyDescent="0.3">
      <c r="A17" s="3" t="s">
        <v>190</v>
      </c>
      <c r="B17" s="3">
        <v>227019</v>
      </c>
      <c r="C17" s="3">
        <v>5630</v>
      </c>
      <c r="D17" s="3">
        <v>210469</v>
      </c>
      <c r="E17" s="3">
        <v>10920</v>
      </c>
      <c r="F17" s="3">
        <v>84428331</v>
      </c>
      <c r="G17" s="3" t="s">
        <v>13</v>
      </c>
      <c r="H17" s="4">
        <v>43901</v>
      </c>
      <c r="I17" s="5">
        <f>IF(B17=0,0,C17/B17)</f>
        <v>2.4799686369863315E-2</v>
      </c>
      <c r="J17" s="5">
        <f>IF(B17=0,0,D17/B17)</f>
        <v>0.92709861289143203</v>
      </c>
      <c r="K17" s="5">
        <f>IF(F17=0,0,B17/F17)</f>
        <v>2.6888959820844972E-3</v>
      </c>
      <c r="L17" s="3" t="str">
        <f>_xlfn.IFS(I17&gt;0.05,"High Risk",I17&gt;=0.02,"Moderate Risk",I17&lt;0.02,"Low Risk")</f>
        <v>Moderate Risk</v>
      </c>
    </row>
    <row r="18" spans="1:12" x14ac:dyDescent="0.3">
      <c r="A18" s="3" t="s">
        <v>31</v>
      </c>
      <c r="B18" s="3">
        <v>226225</v>
      </c>
      <c r="C18" s="3">
        <v>2965</v>
      </c>
      <c r="D18" s="3">
        <v>125683</v>
      </c>
      <c r="E18" s="3">
        <v>97577</v>
      </c>
      <c r="F18" s="3">
        <v>164851401</v>
      </c>
      <c r="G18" s="3" t="s">
        <v>13</v>
      </c>
      <c r="H18" s="4">
        <v>43898</v>
      </c>
      <c r="I18" s="5">
        <f>IF(B18=0,0,C18/B18)</f>
        <v>1.3106420598961211E-2</v>
      </c>
      <c r="J18" s="5">
        <f>IF(B18=0,0,D18/B18)</f>
        <v>0.55556636092385903</v>
      </c>
      <c r="K18" s="5">
        <f>IF(F18=0,0,B18/F18)</f>
        <v>1.3722964962851604E-3</v>
      </c>
      <c r="L18" s="3" t="str">
        <f>_xlfn.IFS(I18&gt;0.05,"High Risk",I18&gt;=0.02,"Moderate Risk",I18&lt;0.02,"Low Risk")</f>
        <v>Low Risk</v>
      </c>
    </row>
    <row r="19" spans="1:12" x14ac:dyDescent="0.3">
      <c r="A19" s="3" t="s">
        <v>79</v>
      </c>
      <c r="B19" s="3">
        <v>220352</v>
      </c>
      <c r="C19" s="3">
        <v>30212</v>
      </c>
      <c r="D19" s="3">
        <v>81212</v>
      </c>
      <c r="E19" s="3">
        <v>108928</v>
      </c>
      <c r="F19" s="3">
        <v>65288306</v>
      </c>
      <c r="G19" s="3" t="s">
        <v>15</v>
      </c>
      <c r="H19" s="4">
        <v>43826</v>
      </c>
      <c r="I19" s="5">
        <f>IF(B19=0,0,C19/B19)</f>
        <v>0.13710790008713331</v>
      </c>
      <c r="J19" s="5">
        <f>IF(B19=0,0,D19/B19)</f>
        <v>0.36855576532094103</v>
      </c>
      <c r="K19" s="5">
        <f>IF(F19=0,0,B19/F19)</f>
        <v>3.3750607650932158E-3</v>
      </c>
      <c r="L19" s="3" t="str">
        <f>_xlfn.IFS(I19&gt;0.05,"High Risk",I19&gt;=0.02,"Moderate Risk",I19&lt;0.02,"Low Risk")</f>
        <v>High Risk</v>
      </c>
    </row>
    <row r="20" spans="1:12" x14ac:dyDescent="0.3">
      <c r="A20" s="3" t="s">
        <v>83</v>
      </c>
      <c r="B20" s="3">
        <v>207112</v>
      </c>
      <c r="C20" s="3">
        <v>9125</v>
      </c>
      <c r="D20" s="3">
        <v>190314</v>
      </c>
      <c r="E20" s="3">
        <v>7673</v>
      </c>
      <c r="F20" s="3">
        <v>83811260</v>
      </c>
      <c r="G20" s="3" t="s">
        <v>15</v>
      </c>
      <c r="H20" s="4">
        <v>43857</v>
      </c>
      <c r="I20" s="5">
        <f>IF(B20=0,0,C20/B20)</f>
        <v>4.4058287303487965E-2</v>
      </c>
      <c r="J20" s="5">
        <f>IF(B20=0,0,D20/B20)</f>
        <v>0.91889412491791878</v>
      </c>
      <c r="K20" s="5">
        <f>IF(F20=0,0,B20/F20)</f>
        <v>2.4711715347078664E-3</v>
      </c>
      <c r="L20" s="3" t="str">
        <f>_xlfn.IFS(I20&gt;0.05,"High Risk",I20&gt;=0.02,"Moderate Risk",I20&lt;0.02,"Low Risk")</f>
        <v>Moderate Risk</v>
      </c>
    </row>
    <row r="21" spans="1:12" x14ac:dyDescent="0.3">
      <c r="A21" s="3" t="s">
        <v>22</v>
      </c>
      <c r="B21" s="3">
        <v>167416</v>
      </c>
      <c r="C21" s="3">
        <v>3059</v>
      </c>
      <c r="D21" s="3">
        <v>72575</v>
      </c>
      <c r="E21" s="3">
        <v>91782</v>
      </c>
      <c r="F21" s="3">
        <v>45236884</v>
      </c>
      <c r="G21" s="3" t="s">
        <v>23</v>
      </c>
      <c r="H21" s="4">
        <v>43893</v>
      </c>
      <c r="I21" s="5">
        <f>IF(B21=0,0,C21/B21)</f>
        <v>1.8271849763463469E-2</v>
      </c>
      <c r="J21" s="5">
        <f>IF(B21=0,0,D21/B21)</f>
        <v>0.43350097959573758</v>
      </c>
      <c r="K21" s="5">
        <f>IF(F21=0,0,B21/F21)</f>
        <v>3.7008738267649026E-3</v>
      </c>
      <c r="L21" s="3" t="str">
        <f>_xlfn.IFS(I21&gt;0.05,"High Risk",I21&gt;=0.02,"Moderate Risk",I21&lt;0.02,"Low Risk")</f>
        <v>Low Risk</v>
      </c>
    </row>
    <row r="22" spans="1:12" x14ac:dyDescent="0.3">
      <c r="A22" s="3" t="s">
        <v>50</v>
      </c>
      <c r="B22" s="3">
        <v>116458</v>
      </c>
      <c r="C22" s="3">
        <v>8944</v>
      </c>
      <c r="D22" s="3">
        <v>0</v>
      </c>
      <c r="E22" s="3">
        <v>107514</v>
      </c>
      <c r="F22" s="3">
        <v>37775022</v>
      </c>
      <c r="G22" s="3" t="s">
        <v>21</v>
      </c>
      <c r="H22" s="4">
        <v>43855</v>
      </c>
      <c r="I22" s="5">
        <f>IF(B22=0,0,C22/B22)</f>
        <v>7.6800219821738305E-2</v>
      </c>
      <c r="J22" s="5">
        <f>IF(B22=0,0,D22/B22)</f>
        <v>0</v>
      </c>
      <c r="K22" s="5">
        <f>IF(F22=0,0,B22/F22)</f>
        <v>3.0829366558674672E-3</v>
      </c>
      <c r="L22" s="3" t="str">
        <f>_xlfn.IFS(I22&gt;0.05,"High Risk",I22&gt;=0.02,"Moderate Risk",I22&lt;0.02,"Low Risk")</f>
        <v>High Risk</v>
      </c>
    </row>
    <row r="23" spans="1:12" x14ac:dyDescent="0.3">
      <c r="A23" s="3" t="s">
        <v>100</v>
      </c>
      <c r="B23" s="3">
        <v>112585</v>
      </c>
      <c r="C23" s="3">
        <v>4458</v>
      </c>
      <c r="D23" s="3">
        <v>77144</v>
      </c>
      <c r="E23" s="3">
        <v>30983</v>
      </c>
      <c r="F23" s="3">
        <v>40306025</v>
      </c>
      <c r="G23" s="3" t="s">
        <v>13</v>
      </c>
      <c r="H23" s="4">
        <v>43883</v>
      </c>
      <c r="I23" s="5">
        <f>IF(B23=0,0,C23/B23)</f>
        <v>3.9596749122884932E-2</v>
      </c>
      <c r="J23" s="5">
        <f>IF(B23=0,0,D23/B23)</f>
        <v>0.68520673269085575</v>
      </c>
      <c r="K23" s="5">
        <f>IF(F23=0,0,B23/F23)</f>
        <v>2.7932548545781927E-3</v>
      </c>
      <c r="L23" s="3" t="str">
        <f>_xlfn.IFS(I23&gt;0.05,"High Risk",I23&gt;=0.02,"Moderate Risk",I23&lt;0.02,"Low Risk")</f>
        <v>Moderate Risk</v>
      </c>
    </row>
    <row r="24" spans="1:12" x14ac:dyDescent="0.3">
      <c r="A24" s="3" t="s">
        <v>154</v>
      </c>
      <c r="B24" s="3">
        <v>109597</v>
      </c>
      <c r="C24" s="3">
        <v>165</v>
      </c>
      <c r="D24" s="3">
        <v>106328</v>
      </c>
      <c r="E24" s="3">
        <v>3104</v>
      </c>
      <c r="F24" s="3">
        <v>2807805</v>
      </c>
      <c r="G24" s="3" t="s">
        <v>13</v>
      </c>
      <c r="H24" s="4">
        <v>43888</v>
      </c>
      <c r="I24" s="5">
        <f>IF(B24=0,0,C24/B24)</f>
        <v>1.5055156619250528E-3</v>
      </c>
      <c r="J24" s="5">
        <f>IF(B24=0,0,D24/B24)</f>
        <v>0.97017254121919394</v>
      </c>
      <c r="K24" s="5">
        <f>IF(F24=0,0,B24/F24)</f>
        <v>3.9032981278970584E-2</v>
      </c>
      <c r="L24" s="3" t="str">
        <f>_xlfn.IFS(I24&gt;0.05,"High Risk",I24&gt;=0.02,"Moderate Risk",I24&lt;0.02,"Low Risk")</f>
        <v>Low Risk</v>
      </c>
    </row>
    <row r="25" spans="1:12" x14ac:dyDescent="0.3">
      <c r="A25" s="3" t="s">
        <v>98</v>
      </c>
      <c r="B25" s="3">
        <v>100303</v>
      </c>
      <c r="C25" s="3">
        <v>4838</v>
      </c>
      <c r="D25" s="3">
        <v>58173</v>
      </c>
      <c r="E25" s="3">
        <v>37292</v>
      </c>
      <c r="F25" s="3">
        <v>273808365</v>
      </c>
      <c r="G25" s="3" t="s">
        <v>13</v>
      </c>
      <c r="H25" s="4">
        <v>43892</v>
      </c>
      <c r="I25" s="5">
        <f>IF(B25=0,0,C25/B25)</f>
        <v>4.8233851430166598E-2</v>
      </c>
      <c r="J25" s="5">
        <f>IF(B25=0,0,D25/B25)</f>
        <v>0.57997268277120329</v>
      </c>
      <c r="K25" s="5">
        <f>IF(F25=0,0,B25/F25)</f>
        <v>3.6632555035343787E-4</v>
      </c>
      <c r="L25" s="3" t="str">
        <f>_xlfn.IFS(I25&gt;0.05,"High Risk",I25&gt;=0.02,"Moderate Risk",I25&lt;0.02,"Low Risk")</f>
        <v>Moderate Risk</v>
      </c>
    </row>
    <row r="26" spans="1:12" x14ac:dyDescent="0.3">
      <c r="A26" s="3" t="s">
        <v>70</v>
      </c>
      <c r="B26" s="3">
        <v>92482</v>
      </c>
      <c r="C26" s="3">
        <v>4652</v>
      </c>
      <c r="D26" s="3">
        <v>34838</v>
      </c>
      <c r="E26" s="3">
        <v>52992</v>
      </c>
      <c r="F26" s="3">
        <v>102516525</v>
      </c>
      <c r="G26" s="3" t="s">
        <v>17</v>
      </c>
      <c r="H26" s="4">
        <v>43875</v>
      </c>
      <c r="I26" s="5">
        <f>IF(B26=0,0,C26/B26)</f>
        <v>5.0301680326982547E-2</v>
      </c>
      <c r="J26" s="5">
        <f>IF(B26=0,0,D26/B26)</f>
        <v>0.37670033087519733</v>
      </c>
      <c r="K26" s="5">
        <f>IF(F26=0,0,B26/F26)</f>
        <v>9.0211797561417541E-4</v>
      </c>
      <c r="L26" s="3" t="str">
        <f>_xlfn.IFS(I26&gt;0.05,"High Risk",I26&gt;=0.02,"Moderate Risk",I26&lt;0.02,"Low Risk")</f>
        <v>High Risk</v>
      </c>
    </row>
    <row r="27" spans="1:12" x14ac:dyDescent="0.3">
      <c r="A27" s="3" t="s">
        <v>54</v>
      </c>
      <c r="B27" s="3">
        <v>86783</v>
      </c>
      <c r="C27" s="3">
        <v>4656</v>
      </c>
      <c r="D27" s="3">
        <v>78869</v>
      </c>
      <c r="E27" s="3">
        <v>3258</v>
      </c>
      <c r="F27" s="3">
        <v>1411778724</v>
      </c>
      <c r="G27" s="3" t="s">
        <v>17</v>
      </c>
      <c r="H27" s="4">
        <v>43786</v>
      </c>
      <c r="I27" s="5">
        <f>IF(B27=0,0,C27/B27)</f>
        <v>5.365106069161011E-2</v>
      </c>
      <c r="J27" s="5">
        <f>IF(B27=0,0,D27/B27)</f>
        <v>0.90880702441722461</v>
      </c>
      <c r="K27" s="5">
        <f>IF(F27=0,0,B27/F27)</f>
        <v>6.1470681293536756E-5</v>
      </c>
      <c r="L27" s="3" t="str">
        <f>_xlfn.IFS(I27&gt;0.05,"High Risk",I27&gt;=0.02,"Moderate Risk",I27&lt;0.02,"Low Risk")</f>
        <v>High Risk</v>
      </c>
    </row>
    <row r="28" spans="1:12" x14ac:dyDescent="0.3">
      <c r="A28" s="3" t="s">
        <v>107</v>
      </c>
      <c r="B28" s="3">
        <v>84648</v>
      </c>
      <c r="C28" s="3">
        <v>585</v>
      </c>
      <c r="D28" s="3">
        <v>54404</v>
      </c>
      <c r="E28" s="3">
        <v>29659</v>
      </c>
      <c r="F28" s="3">
        <v>18798667</v>
      </c>
      <c r="G28" s="3" t="s">
        <v>13</v>
      </c>
      <c r="H28" s="4">
        <v>43903</v>
      </c>
      <c r="I28" s="5">
        <f>IF(B28=0,0,C28/B28)</f>
        <v>6.9109724978735467E-3</v>
      </c>
      <c r="J28" s="5">
        <f>IF(B28=0,0,D28/B28)</f>
        <v>0.64270862867403833</v>
      </c>
      <c r="K28" s="5">
        <f>IF(F28=0,0,B28/F28)</f>
        <v>4.5028724643082409E-3</v>
      </c>
      <c r="L28" s="3" t="str">
        <f>_xlfn.IFS(I28&gt;0.05,"High Risk",I28&gt;=0.02,"Moderate Risk",I28&lt;0.02,"Low Risk")</f>
        <v>Low Risk</v>
      </c>
    </row>
    <row r="29" spans="1:12" x14ac:dyDescent="0.3">
      <c r="A29" s="3" t="s">
        <v>151</v>
      </c>
      <c r="B29" s="3">
        <v>82040</v>
      </c>
      <c r="C29" s="3">
        <v>1945</v>
      </c>
      <c r="D29" s="3">
        <v>26446</v>
      </c>
      <c r="E29" s="3">
        <v>53649</v>
      </c>
      <c r="F29" s="3">
        <v>109722719</v>
      </c>
      <c r="G29" s="3" t="s">
        <v>13</v>
      </c>
      <c r="H29" s="4">
        <v>43860</v>
      </c>
      <c r="I29" s="5">
        <f>IF(B29=0,0,C29/B29)</f>
        <v>2.370794734275963E-2</v>
      </c>
      <c r="J29" s="5">
        <f>IF(B29=0,0,D29/B29)</f>
        <v>0.32235494880546073</v>
      </c>
      <c r="K29" s="5">
        <f>IF(F29=0,0,B29/F29)</f>
        <v>7.4770294381786148E-4</v>
      </c>
      <c r="L29" s="3" t="str">
        <f>_xlfn.IFS(I29&gt;0.05,"High Risk",I29&gt;=0.02,"Moderate Risk",I29&lt;0.02,"Low Risk")</f>
        <v>Moderate Risk</v>
      </c>
    </row>
    <row r="30" spans="1:12" x14ac:dyDescent="0.3">
      <c r="A30" s="3" t="s">
        <v>69</v>
      </c>
      <c r="B30" s="3">
        <v>81161</v>
      </c>
      <c r="C30" s="3">
        <v>5532</v>
      </c>
      <c r="D30" s="3">
        <v>34896</v>
      </c>
      <c r="E30" s="3">
        <v>40733</v>
      </c>
      <c r="F30" s="3">
        <v>17668824</v>
      </c>
      <c r="G30" s="3" t="s">
        <v>23</v>
      </c>
      <c r="H30" s="4">
        <v>43890</v>
      </c>
      <c r="I30" s="5">
        <f>IF(B30=0,0,C30/B30)</f>
        <v>6.8160816155542689E-2</v>
      </c>
      <c r="J30" s="5">
        <f>IF(B30=0,0,D30/B30)</f>
        <v>0.42996020256034301</v>
      </c>
      <c r="K30" s="5">
        <f>IF(F30=0,0,B30/F30)</f>
        <v>4.5934579460410038E-3</v>
      </c>
      <c r="L30" s="3" t="str">
        <f>_xlfn.IFS(I30&gt;0.05,"High Risk",I30&gt;=0.02,"Moderate Risk",I30&lt;0.02,"Low Risk")</f>
        <v>High Risk</v>
      </c>
    </row>
    <row r="31" spans="1:12" x14ac:dyDescent="0.3">
      <c r="A31" s="3" t="s">
        <v>179</v>
      </c>
      <c r="B31" s="3">
        <v>79395</v>
      </c>
      <c r="C31" s="3">
        <v>5700</v>
      </c>
      <c r="D31" s="3">
        <v>0</v>
      </c>
      <c r="E31" s="3">
        <v>73695</v>
      </c>
      <c r="F31" s="3">
        <v>10105596</v>
      </c>
      <c r="G31" s="3" t="s">
        <v>15</v>
      </c>
      <c r="H31" s="4">
        <v>43861</v>
      </c>
      <c r="I31" s="5">
        <f>IF(B31=0,0,C31/B31)</f>
        <v>7.1792934063857922E-2</v>
      </c>
      <c r="J31" s="5">
        <f>IF(B31=0,0,D31/B31)</f>
        <v>0</v>
      </c>
      <c r="K31" s="5">
        <f>IF(F31=0,0,B31/F31)</f>
        <v>7.8565381002763217E-3</v>
      </c>
      <c r="L31" s="3" t="str">
        <f>_xlfn.IFS(I31&gt;0.05,"High Risk",I31&gt;=0.02,"Moderate Risk",I31&lt;0.02,"Low Risk")</f>
        <v>High Risk</v>
      </c>
    </row>
    <row r="32" spans="1:12" x14ac:dyDescent="0.3">
      <c r="A32" s="3" t="s">
        <v>145</v>
      </c>
      <c r="B32" s="3">
        <v>77058</v>
      </c>
      <c r="C32" s="3">
        <v>393</v>
      </c>
      <c r="D32" s="3">
        <v>57028</v>
      </c>
      <c r="E32" s="3">
        <v>19637</v>
      </c>
      <c r="F32" s="3">
        <v>5118446</v>
      </c>
      <c r="G32" s="3" t="s">
        <v>13</v>
      </c>
      <c r="H32" s="4">
        <v>43885</v>
      </c>
      <c r="I32" s="5">
        <f>IF(B32=0,0,C32/B32)</f>
        <v>5.1000545043992833E-3</v>
      </c>
      <c r="J32" s="5">
        <f>IF(B32=0,0,D32/B32)</f>
        <v>0.74006592436865737</v>
      </c>
      <c r="K32" s="5">
        <f>IF(F32=0,0,B32/F32)</f>
        <v>1.5054960040606075E-2</v>
      </c>
      <c r="L32" s="3" t="str">
        <f>_xlfn.IFS(I32&gt;0.05,"High Risk",I32&gt;=0.02,"Moderate Risk",I32&lt;0.02,"Low Risk")</f>
        <v>Low Risk</v>
      </c>
    </row>
    <row r="33" spans="1:17" x14ac:dyDescent="0.3">
      <c r="A33" s="3" t="s">
        <v>38</v>
      </c>
      <c r="B33" s="3">
        <v>71181</v>
      </c>
      <c r="C33" s="3">
        <v>2647</v>
      </c>
      <c r="D33" s="3">
        <v>21478</v>
      </c>
      <c r="E33" s="3">
        <v>47056</v>
      </c>
      <c r="F33" s="3">
        <v>11688459</v>
      </c>
      <c r="G33" s="3" t="s">
        <v>23</v>
      </c>
      <c r="H33" s="4">
        <v>43900</v>
      </c>
      <c r="I33" s="5">
        <f>IF(B33=0,0,C33/B33)</f>
        <v>3.7186889759907839E-2</v>
      </c>
      <c r="J33" s="5">
        <f>IF(B33=0,0,D33/B33)</f>
        <v>0.30173782329554233</v>
      </c>
      <c r="K33" s="5">
        <f>IF(F33=0,0,B33/F33)</f>
        <v>6.0898532475495704E-3</v>
      </c>
      <c r="L33" s="3" t="str">
        <f>_xlfn.IFS(I33&gt;0.05,"High Risk",I33&gt;=0.02,"Moderate Risk",I33&lt;0.02,"Low Risk")</f>
        <v>Moderate Risk</v>
      </c>
    </row>
    <row r="34" spans="1:17" x14ac:dyDescent="0.3">
      <c r="A34" s="3" t="s">
        <v>33</v>
      </c>
      <c r="B34" s="3">
        <v>67251</v>
      </c>
      <c r="C34" s="3">
        <v>538</v>
      </c>
      <c r="D34" s="3">
        <v>60492</v>
      </c>
      <c r="E34" s="3">
        <v>6221</v>
      </c>
      <c r="F34" s="3">
        <v>9449001</v>
      </c>
      <c r="G34" s="3" t="s">
        <v>15</v>
      </c>
      <c r="H34" s="4">
        <v>43889</v>
      </c>
      <c r="I34" s="5">
        <f>IF(B34=0,0,C34/B34)</f>
        <v>7.9998810426610764E-3</v>
      </c>
      <c r="J34" s="5">
        <f>IF(B34=0,0,D34/B34)</f>
        <v>0.89949591827630815</v>
      </c>
      <c r="K34" s="5">
        <f>IF(F34=0,0,B34/F34)</f>
        <v>7.1172603326002401E-3</v>
      </c>
      <c r="L34" s="3" t="str">
        <f>_xlfn.IFS(I34&gt;0.05,"High Risk",I34&gt;=0.02,"Moderate Risk",I34&lt;0.02,"Low Risk")</f>
        <v>Low Risk</v>
      </c>
    </row>
    <row r="35" spans="1:17" x14ac:dyDescent="0.3">
      <c r="A35" s="3" t="s">
        <v>193</v>
      </c>
      <c r="B35" s="3">
        <v>67096</v>
      </c>
      <c r="C35" s="3">
        <v>1636</v>
      </c>
      <c r="D35" s="3">
        <v>37202</v>
      </c>
      <c r="E35" s="3">
        <v>28258</v>
      </c>
      <c r="F35" s="3">
        <v>43705858</v>
      </c>
      <c r="G35" s="3" t="s">
        <v>15</v>
      </c>
      <c r="H35" s="4">
        <v>43893</v>
      </c>
      <c r="I35" s="5">
        <f>IF(B35=0,0,C35/B35)</f>
        <v>2.4382973649695959E-2</v>
      </c>
      <c r="J35" s="5">
        <f>IF(B35=0,0,D35/B35)</f>
        <v>0.55445928222248719</v>
      </c>
      <c r="K35" s="5">
        <f>IF(F35=0,0,B35/F35)</f>
        <v>1.5351717840661086E-3</v>
      </c>
      <c r="L35" s="3" t="str">
        <f>_xlfn.IFS(I35&gt;0.05,"High Risk",I35&gt;=0.02,"Moderate Risk",I35&lt;0.02,"Low Risk")</f>
        <v>Moderate Risk</v>
      </c>
    </row>
    <row r="36" spans="1:17" x14ac:dyDescent="0.3">
      <c r="A36" s="3" t="s">
        <v>34</v>
      </c>
      <c r="B36" s="3">
        <v>66428</v>
      </c>
      <c r="C36" s="3">
        <v>9822</v>
      </c>
      <c r="D36" s="3">
        <v>17452</v>
      </c>
      <c r="E36" s="3">
        <v>39154</v>
      </c>
      <c r="F36" s="3">
        <v>11594739</v>
      </c>
      <c r="G36" s="3" t="s">
        <v>15</v>
      </c>
      <c r="H36" s="4">
        <v>43865</v>
      </c>
      <c r="I36" s="5">
        <f>IF(B36=0,0,C36/B36)</f>
        <v>0.14785933642439936</v>
      </c>
      <c r="J36" s="5">
        <f>IF(B36=0,0,D36/B36)</f>
        <v>0.26272053953152286</v>
      </c>
      <c r="K36" s="5">
        <f>IF(F36=0,0,B36/F36)</f>
        <v>5.7291500912612179E-3</v>
      </c>
      <c r="L36" s="3" t="str">
        <f>_xlfn.IFS(I36&gt;0.05,"High Risk",I36&gt;=0.02,"Moderate Risk",I36&lt;0.02,"Low Risk")</f>
        <v>High Risk</v>
      </c>
    </row>
    <row r="37" spans="1:17" x14ac:dyDescent="0.3">
      <c r="A37" s="3" t="s">
        <v>110</v>
      </c>
      <c r="B37" s="3">
        <v>64379</v>
      </c>
      <c r="C37" s="3">
        <v>438</v>
      </c>
      <c r="D37" s="3">
        <v>55057</v>
      </c>
      <c r="E37" s="3">
        <v>8884</v>
      </c>
      <c r="F37" s="3">
        <v>4276658</v>
      </c>
      <c r="G37" s="3" t="s">
        <v>13</v>
      </c>
      <c r="H37" s="4">
        <v>43885</v>
      </c>
      <c r="I37" s="5">
        <f>IF(B37=0,0,C37/B37)</f>
        <v>6.8034607558365304E-3</v>
      </c>
      <c r="J37" s="5">
        <f>IF(B37=0,0,D37/B37)</f>
        <v>0.85520123021482164</v>
      </c>
      <c r="K37" s="5">
        <f>IF(F37=0,0,B37/F37)</f>
        <v>1.5053576881761413E-2</v>
      </c>
      <c r="L37" s="3" t="str">
        <f>_xlfn.IFS(I37&gt;0.05,"High Risk",I37&gt;=0.02,"Moderate Risk",I37&lt;0.02,"Low Risk")</f>
        <v>Low Risk</v>
      </c>
    </row>
    <row r="38" spans="1:17" x14ac:dyDescent="0.3">
      <c r="A38" s="3" t="s">
        <v>68</v>
      </c>
      <c r="B38" s="3">
        <v>64156</v>
      </c>
      <c r="C38" s="3">
        <v>1083</v>
      </c>
      <c r="D38" s="3">
        <v>30204</v>
      </c>
      <c r="E38" s="3">
        <v>32869</v>
      </c>
      <c r="F38" s="3">
        <v>10858648</v>
      </c>
      <c r="G38" s="3" t="s">
        <v>21</v>
      </c>
      <c r="H38" s="4">
        <v>43891</v>
      </c>
      <c r="I38" s="5">
        <f>IF(B38=0,0,C38/B38)</f>
        <v>1.688072822495168E-2</v>
      </c>
      <c r="J38" s="5">
        <f>IF(B38=0,0,D38/B38)</f>
        <v>0.47078994949809838</v>
      </c>
      <c r="K38" s="5">
        <f>IF(F38=0,0,B38/F38)</f>
        <v>5.9082861881147638E-3</v>
      </c>
      <c r="L38" s="3" t="str">
        <f>_xlfn.IFS(I38&gt;0.05,"High Risk",I38&gt;=0.02,"Moderate Risk",I38&lt;0.02,"Low Risk")</f>
        <v>Low Risk</v>
      </c>
      <c r="P38" t="s">
        <v>208</v>
      </c>
      <c r="Q38">
        <f>VLOOKUP("India",A2:G100,6,FALSE)</f>
        <v>1381344997</v>
      </c>
    </row>
    <row r="39" spans="1:17" x14ac:dyDescent="0.3">
      <c r="A39" s="3" t="s">
        <v>102</v>
      </c>
      <c r="B39" s="3">
        <v>63985</v>
      </c>
      <c r="C39" s="3">
        <v>474</v>
      </c>
      <c r="D39" s="3">
        <v>27133</v>
      </c>
      <c r="E39" s="3">
        <v>36378</v>
      </c>
      <c r="F39" s="3">
        <v>9197590</v>
      </c>
      <c r="G39" s="3" t="s">
        <v>13</v>
      </c>
      <c r="H39" s="4">
        <v>43882</v>
      </c>
      <c r="I39" s="5">
        <f>IF(B39=0,0,C39/B39)</f>
        <v>7.407986246776588E-3</v>
      </c>
      <c r="J39" s="5">
        <f>IF(B39=0,0,D39/B39)</f>
        <v>0.42405251230757207</v>
      </c>
      <c r="K39" s="5">
        <f>IF(F39=0,0,B39/F39)</f>
        <v>6.9567136608611607E-3</v>
      </c>
      <c r="L39" s="3" t="str">
        <f>_xlfn.IFS(I39&gt;0.05,"High Risk",I39&gt;=0.02,"Moderate Risk",I39&lt;0.02,"Low Risk")</f>
        <v>Low Risk</v>
      </c>
    </row>
    <row r="40" spans="1:17" ht="28.8" x14ac:dyDescent="0.3">
      <c r="A40" s="3" t="s">
        <v>147</v>
      </c>
      <c r="B40" s="3">
        <v>61442</v>
      </c>
      <c r="C40" s="3">
        <v>1322</v>
      </c>
      <c r="D40" s="3">
        <v>35086</v>
      </c>
      <c r="E40" s="3">
        <v>25034</v>
      </c>
      <c r="F40" s="3">
        <v>5112340</v>
      </c>
      <c r="G40" s="3" t="s">
        <v>13</v>
      </c>
      <c r="H40" s="4">
        <v>43899</v>
      </c>
      <c r="I40" s="5">
        <f>IF(B40=0,0,C40/B40)</f>
        <v>2.1516226685329255E-2</v>
      </c>
      <c r="J40" s="5">
        <f>IF(B40=0,0,D40/B40)</f>
        <v>0.57104260929006212</v>
      </c>
      <c r="K40" s="5">
        <f>IF(F40=0,0,B40/F40)</f>
        <v>1.2018371235089998E-2</v>
      </c>
      <c r="L40" s="3" t="str">
        <f>_xlfn.IFS(I40&gt;0.05,"High Risk",I40&gt;=0.02,"Moderate Risk",I40&lt;0.02,"Low Risk")</f>
        <v>Moderate Risk</v>
      </c>
      <c r="P40" s="9" t="s">
        <v>209</v>
      </c>
      <c r="Q40" s="10" t="str">
        <f>HLOOKUP("Continent",A1:H2,2,FALSE)</f>
        <v>North America</v>
      </c>
    </row>
    <row r="41" spans="1:17" x14ac:dyDescent="0.3">
      <c r="A41" s="3" t="s">
        <v>194</v>
      </c>
      <c r="B41" s="3">
        <v>59177</v>
      </c>
      <c r="C41" s="3">
        <v>345</v>
      </c>
      <c r="D41" s="3">
        <v>52510</v>
      </c>
      <c r="E41" s="3">
        <v>6322</v>
      </c>
      <c r="F41" s="3">
        <v>9902079</v>
      </c>
      <c r="G41" s="3" t="s">
        <v>13</v>
      </c>
      <c r="H41" s="4">
        <v>43859</v>
      </c>
      <c r="I41" s="5">
        <f>IF(B41=0,0,C41/B41)</f>
        <v>5.8299677239468037E-3</v>
      </c>
      <c r="J41" s="5">
        <f>IF(B41=0,0,D41/B41)</f>
        <v>0.88733798604187442</v>
      </c>
      <c r="K41" s="5">
        <f>IF(F41=0,0,B41/F41)</f>
        <v>5.9762197413290681E-3</v>
      </c>
      <c r="L41" s="3" t="str">
        <f>_xlfn.IFS(I41&gt;0.05,"High Risk",I41&gt;=0.02,"Moderate Risk",I41&lt;0.02,"Low Risk")</f>
        <v>Low Risk</v>
      </c>
    </row>
    <row r="42" spans="1:17" x14ac:dyDescent="0.3">
      <c r="A42" s="3" t="s">
        <v>138</v>
      </c>
      <c r="B42" s="3">
        <v>53413</v>
      </c>
      <c r="C42" s="3">
        <v>6160</v>
      </c>
      <c r="D42" s="3">
        <v>189</v>
      </c>
      <c r="E42" s="3">
        <v>47064</v>
      </c>
      <c r="F42" s="3">
        <v>17138756</v>
      </c>
      <c r="G42" s="3" t="s">
        <v>15</v>
      </c>
      <c r="H42" s="4">
        <v>43888</v>
      </c>
      <c r="I42" s="5">
        <f>IF(B42=0,0,C42/B42)</f>
        <v>0.11532772920450078</v>
      </c>
      <c r="J42" s="5">
        <f>IF(B42=0,0,D42/B42)</f>
        <v>3.5384644187744555E-3</v>
      </c>
      <c r="K42" s="5">
        <f>IF(F42=0,0,B42/F42)</f>
        <v>3.1165039049508613E-3</v>
      </c>
      <c r="L42" s="3" t="str">
        <f>_xlfn.IFS(I42&gt;0.05,"High Risk",I42&gt;=0.02,"Moderate Risk",I42&lt;0.02,"Low Risk")</f>
        <v>High Risk</v>
      </c>
    </row>
    <row r="43" spans="1:17" ht="15.6" x14ac:dyDescent="0.3">
      <c r="A43" s="3" t="s">
        <v>168</v>
      </c>
      <c r="B43" s="3">
        <v>50838</v>
      </c>
      <c r="C43" s="3">
        <v>27</v>
      </c>
      <c r="D43" s="3">
        <v>45692</v>
      </c>
      <c r="E43" s="3">
        <v>5119</v>
      </c>
      <c r="F43" s="3">
        <v>5854932</v>
      </c>
      <c r="G43" s="3" t="s">
        <v>13</v>
      </c>
      <c r="H43" s="4">
        <v>43853</v>
      </c>
      <c r="I43" s="5">
        <f>IF(B43=0,0,C43/B43)</f>
        <v>5.3109878437389356E-4</v>
      </c>
      <c r="J43" s="5">
        <f>IF(B43=0,0,D43/B43)</f>
        <v>0.89877650576340529</v>
      </c>
      <c r="K43" s="5">
        <f>IF(F43=0,0,B43/F43)</f>
        <v>8.6829360272672688E-3</v>
      </c>
      <c r="L43" s="3" t="str">
        <f>_xlfn.IFS(I43&gt;0.05,"High Risk",I43&gt;=0.02,"Moderate Risk",I43&lt;0.02,"Low Risk")</f>
        <v>Low Risk</v>
      </c>
      <c r="Q43" s="12" t="s">
        <v>220</v>
      </c>
    </row>
    <row r="44" spans="1:17" x14ac:dyDescent="0.3">
      <c r="A44" s="3" t="s">
        <v>153</v>
      </c>
      <c r="B44" s="3">
        <v>50299</v>
      </c>
      <c r="C44" s="3">
        <v>1719</v>
      </c>
      <c r="D44" s="3">
        <v>35375</v>
      </c>
      <c r="E44" s="3">
        <v>13205</v>
      </c>
      <c r="F44" s="3">
        <v>10193593</v>
      </c>
      <c r="G44" s="3" t="s">
        <v>15</v>
      </c>
      <c r="H44" s="4">
        <v>43892</v>
      </c>
      <c r="I44" s="5">
        <f>IF(B44=0,0,C44/B44)</f>
        <v>3.4175629734189548E-2</v>
      </c>
      <c r="J44" s="5">
        <f>IF(B44=0,0,D44/B44)</f>
        <v>0.70329430008548877</v>
      </c>
      <c r="K44" s="5">
        <f>IF(F44=0,0,B44/F44)</f>
        <v>4.9343739739265632E-3</v>
      </c>
      <c r="L44" s="3" t="str">
        <f>_xlfn.IFS(I44&gt;0.05,"High Risk",I44&gt;=0.02,"Moderate Risk",I44&lt;0.02,"Low Risk")</f>
        <v>Moderate Risk</v>
      </c>
      <c r="Q44" s="11" t="s">
        <v>213</v>
      </c>
    </row>
    <row r="45" spans="1:17" x14ac:dyDescent="0.3">
      <c r="A45" s="3" t="s">
        <v>155</v>
      </c>
      <c r="B45" s="3">
        <v>45902</v>
      </c>
      <c r="C45" s="3">
        <v>2206</v>
      </c>
      <c r="D45" s="3">
        <v>25794</v>
      </c>
      <c r="E45" s="3">
        <v>17902</v>
      </c>
      <c r="F45" s="3">
        <v>19224023</v>
      </c>
      <c r="G45" s="3" t="s">
        <v>15</v>
      </c>
      <c r="H45" s="4">
        <v>43887</v>
      </c>
      <c r="I45" s="5">
        <f>IF(B45=0,0,C45/B45)</f>
        <v>4.805890810857915E-2</v>
      </c>
      <c r="J45" s="5">
        <f>IF(B45=0,0,D45/B45)</f>
        <v>0.56193629907193587</v>
      </c>
      <c r="K45" s="5">
        <f>IF(F45=0,0,B45/F45)</f>
        <v>2.3877416293145303E-3</v>
      </c>
      <c r="L45" s="3" t="str">
        <f>_xlfn.IFS(I45&gt;0.05,"High Risk",I45&gt;=0.02,"Moderate Risk",I45&lt;0.02,"Low Risk")</f>
        <v>Moderate Risk</v>
      </c>
      <c r="Q45" t="str" cm="1">
        <f t="array" ref="Q45:Q73">_xlfn._xlws.FILTER(A2:A1000, L2:L1000="High Risk", "No High Risk countries")</f>
        <v>Mexico</v>
      </c>
    </row>
    <row r="46" spans="1:17" x14ac:dyDescent="0.3">
      <c r="A46" s="3" t="s">
        <v>88</v>
      </c>
      <c r="B46" s="3">
        <v>45309</v>
      </c>
      <c r="C46" s="3">
        <v>1761</v>
      </c>
      <c r="D46" s="3">
        <v>32455</v>
      </c>
      <c r="E46" s="3">
        <v>11093</v>
      </c>
      <c r="F46" s="3">
        <v>17946899</v>
      </c>
      <c r="G46" s="3" t="s">
        <v>21</v>
      </c>
      <c r="H46" s="4">
        <v>43903</v>
      </c>
      <c r="I46" s="5">
        <f>IF(B46=0,0,C46/B46)</f>
        <v>3.8866450374097861E-2</v>
      </c>
      <c r="J46" s="5">
        <f>IF(B46=0,0,D46/B46)</f>
        <v>0.71630360414045779</v>
      </c>
      <c r="K46" s="5">
        <f>IF(F46=0,0,B46/F46)</f>
        <v>2.5246144194604318E-3</v>
      </c>
      <c r="L46" s="3" t="str">
        <f>_xlfn.IFS(I46&gt;0.05,"High Risk",I46&gt;=0.02,"Moderate Risk",I46&lt;0.02,"Low Risk")</f>
        <v>Moderate Risk</v>
      </c>
      <c r="Q46" t="str">
        <v>United Kingdom</v>
      </c>
    </row>
    <row r="47" spans="1:17" x14ac:dyDescent="0.3">
      <c r="A47" s="3" t="s">
        <v>152</v>
      </c>
      <c r="B47" s="3">
        <v>43402</v>
      </c>
      <c r="C47" s="3">
        <v>1676</v>
      </c>
      <c r="D47" s="3">
        <v>32856</v>
      </c>
      <c r="E47" s="3">
        <v>8870</v>
      </c>
      <c r="F47" s="3">
        <v>37842302</v>
      </c>
      <c r="G47" s="3" t="s">
        <v>15</v>
      </c>
      <c r="H47" s="4">
        <v>43894</v>
      </c>
      <c r="I47" s="5">
        <f>IF(B47=0,0,C47/B47)</f>
        <v>3.8615731993917331E-2</v>
      </c>
      <c r="J47" s="5">
        <f>IF(B47=0,0,D47/B47)</f>
        <v>0.75701580572323857</v>
      </c>
      <c r="K47" s="5">
        <f>IF(F47=0,0,B47/F47)</f>
        <v>1.1469175421727779E-3</v>
      </c>
      <c r="L47" s="3" t="str">
        <f>_xlfn.IFS(I47&gt;0.05,"High Risk",I47&gt;=0.02,"Moderate Risk",I47&lt;0.02,"Low Risk")</f>
        <v>Moderate Risk</v>
      </c>
      <c r="Q47" t="str">
        <v>Iran</v>
      </c>
    </row>
    <row r="48" spans="1:17" x14ac:dyDescent="0.3">
      <c r="A48" s="3" t="s">
        <v>142</v>
      </c>
      <c r="B48" s="3">
        <v>41180</v>
      </c>
      <c r="C48" s="3">
        <v>860</v>
      </c>
      <c r="D48" s="3">
        <v>18203</v>
      </c>
      <c r="E48" s="3">
        <v>22117</v>
      </c>
      <c r="F48" s="3">
        <v>206606300</v>
      </c>
      <c r="G48" s="3" t="s">
        <v>17</v>
      </c>
      <c r="H48" s="4">
        <v>43888</v>
      </c>
      <c r="I48" s="5">
        <f>IF(B48=0,0,C48/B48)</f>
        <v>2.0883924235065566E-2</v>
      </c>
      <c r="J48" s="5">
        <f>IF(B48=0,0,D48/B48)</f>
        <v>0.44203496843127732</v>
      </c>
      <c r="K48" s="5">
        <f>IF(F48=0,0,B48/F48)</f>
        <v>1.9931628415977636E-4</v>
      </c>
      <c r="L48" s="3" t="str">
        <f>_xlfn.IFS(I48&gt;0.05,"High Risk",I48&gt;=0.02,"Moderate Risk",I48&lt;0.02,"Low Risk")</f>
        <v>Moderate Risk</v>
      </c>
      <c r="Q48" t="str">
        <v>Spain</v>
      </c>
    </row>
    <row r="49" spans="1:17" x14ac:dyDescent="0.3">
      <c r="A49" s="3" t="s">
        <v>94</v>
      </c>
      <c r="B49" s="3">
        <v>39741</v>
      </c>
      <c r="C49" s="3">
        <v>1166</v>
      </c>
      <c r="D49" s="3">
        <v>5039</v>
      </c>
      <c r="E49" s="3">
        <v>33536</v>
      </c>
      <c r="F49" s="3">
        <v>10012084</v>
      </c>
      <c r="G49" s="3" t="s">
        <v>21</v>
      </c>
      <c r="H49" s="4">
        <v>43907</v>
      </c>
      <c r="I49" s="5">
        <f>IF(B49=0,0,C49/B49)</f>
        <v>2.9339976346845827E-2</v>
      </c>
      <c r="J49" s="5">
        <f>IF(B49=0,0,D49/B49)</f>
        <v>0.12679600412672051</v>
      </c>
      <c r="K49" s="5">
        <f>IF(F49=0,0,B49/F49)</f>
        <v>3.9693034936582631E-3</v>
      </c>
      <c r="L49" s="3" t="str">
        <f>_xlfn.IFS(I49&gt;0.05,"High Risk",I49&gt;=0.02,"Moderate Risk",I49&lt;0.02,"Low Risk")</f>
        <v>Moderate Risk</v>
      </c>
      <c r="Q49" t="str">
        <v>Italy</v>
      </c>
    </row>
    <row r="50" spans="1:17" x14ac:dyDescent="0.3">
      <c r="A50" s="3" t="s">
        <v>30</v>
      </c>
      <c r="B50" s="3">
        <v>39482</v>
      </c>
      <c r="C50" s="3">
        <v>141</v>
      </c>
      <c r="D50" s="3">
        <v>36110</v>
      </c>
      <c r="E50" s="3">
        <v>3231</v>
      </c>
      <c r="F50" s="3">
        <v>1706669</v>
      </c>
      <c r="G50" s="3" t="s">
        <v>13</v>
      </c>
      <c r="H50" s="4">
        <v>43882</v>
      </c>
      <c r="I50" s="5">
        <f>IF(B50=0,0,C50/B50)</f>
        <v>3.5712476571602247E-3</v>
      </c>
      <c r="J50" s="5">
        <f>IF(B50=0,0,D50/B50)</f>
        <v>0.91459399219897675</v>
      </c>
      <c r="K50" s="5">
        <f>IF(F50=0,0,B50/F50)</f>
        <v>2.3133952746548978E-2</v>
      </c>
      <c r="L50" s="3" t="str">
        <f>_xlfn.IFS(I50&gt;0.05,"High Risk",I50&gt;=0.02,"Moderate Risk",I50&lt;0.02,"Low Risk")</f>
        <v>Low Risk</v>
      </c>
      <c r="Q50" t="str">
        <v>France</v>
      </c>
    </row>
    <row r="51" spans="1:17" x14ac:dyDescent="0.3">
      <c r="A51" s="3" t="s">
        <v>24</v>
      </c>
      <c r="B51" s="3">
        <v>37390</v>
      </c>
      <c r="C51" s="3">
        <v>711</v>
      </c>
      <c r="D51" s="3">
        <v>26665</v>
      </c>
      <c r="E51" s="3">
        <v>10014</v>
      </c>
      <c r="F51" s="3">
        <v>2963811</v>
      </c>
      <c r="G51" s="3" t="s">
        <v>13</v>
      </c>
      <c r="H51" s="4">
        <v>43891</v>
      </c>
      <c r="I51" s="5">
        <f>IF(B51=0,0,C51/B51)</f>
        <v>1.901577962021931E-2</v>
      </c>
      <c r="J51" s="5">
        <f>IF(B51=0,0,D51/B51)</f>
        <v>0.71315859855576358</v>
      </c>
      <c r="K51" s="5">
        <f>IF(F51=0,0,B51/F51)</f>
        <v>1.2615514282118529E-2</v>
      </c>
      <c r="L51" s="3" t="str">
        <f>_xlfn.IFS(I51&gt;0.05,"High Risk",I51&gt;=0.02,"Moderate Risk",I51&lt;0.02,"Low Risk")</f>
        <v>Low Risk</v>
      </c>
      <c r="Q51" t="str">
        <v>Canada</v>
      </c>
    </row>
    <row r="52" spans="1:17" x14ac:dyDescent="0.3">
      <c r="A52" s="3" t="s">
        <v>12</v>
      </c>
      <c r="B52" s="3">
        <v>36263</v>
      </c>
      <c r="C52" s="3">
        <v>1269</v>
      </c>
      <c r="D52" s="3">
        <v>25198</v>
      </c>
      <c r="E52" s="3">
        <v>9796</v>
      </c>
      <c r="F52" s="3">
        <v>39009447</v>
      </c>
      <c r="G52" s="3" t="s">
        <v>13</v>
      </c>
      <c r="H52" s="4">
        <v>43885</v>
      </c>
      <c r="I52" s="5">
        <f>IF(B52=0,0,C52/B52)</f>
        <v>3.4994346854920991E-2</v>
      </c>
      <c r="J52" s="5">
        <f>IF(B52=0,0,D52/B52)</f>
        <v>0.69486804732096075</v>
      </c>
      <c r="K52" s="5">
        <f>IF(F52=0,0,B52/F52)</f>
        <v>9.2959533622714516E-4</v>
      </c>
      <c r="L52" s="3" t="str">
        <f>_xlfn.IFS(I52&gt;0.05,"High Risk",I52&gt;=0.02,"Moderate Risk",I52&lt;0.02,"Low Risk")</f>
        <v>Moderate Risk</v>
      </c>
      <c r="Q52" t="str">
        <v>Egypt</v>
      </c>
    </row>
    <row r="53" spans="1:17" x14ac:dyDescent="0.3">
      <c r="A53" s="3" t="s">
        <v>180</v>
      </c>
      <c r="B53" s="3">
        <v>34477</v>
      </c>
      <c r="C53" s="3">
        <v>1978</v>
      </c>
      <c r="D53" s="3">
        <v>30900</v>
      </c>
      <c r="E53" s="3">
        <v>1599</v>
      </c>
      <c r="F53" s="3">
        <v>8660952</v>
      </c>
      <c r="G53" s="3" t="s">
        <v>15</v>
      </c>
      <c r="H53" s="4">
        <v>43886</v>
      </c>
      <c r="I53" s="5">
        <f>IF(B53=0,0,C53/B53)</f>
        <v>5.7371581054036024E-2</v>
      </c>
      <c r="J53" s="5">
        <f>IF(B53=0,0,D53/B53)</f>
        <v>0.89624967369550712</v>
      </c>
      <c r="K53" s="5">
        <f>IF(F53=0,0,B53/F53)</f>
        <v>3.9807402234765879E-3</v>
      </c>
      <c r="L53" s="3" t="str">
        <f>_xlfn.IFS(I53&gt;0.05,"High Risk",I53&gt;=0.02,"Moderate Risk",I53&lt;0.02,"Low Risk")</f>
        <v>High Risk</v>
      </c>
      <c r="Q53" t="str">
        <v>China</v>
      </c>
    </row>
    <row r="54" spans="1:17" x14ac:dyDescent="0.3">
      <c r="A54" s="3" t="s">
        <v>84</v>
      </c>
      <c r="B54" s="3">
        <v>33624</v>
      </c>
      <c r="C54" s="3">
        <v>168</v>
      </c>
      <c r="D54" s="3">
        <v>29801</v>
      </c>
      <c r="E54" s="3">
        <v>3655</v>
      </c>
      <c r="F54" s="3">
        <v>31133483</v>
      </c>
      <c r="G54" s="3" t="s">
        <v>17</v>
      </c>
      <c r="H54" s="4">
        <v>43902</v>
      </c>
      <c r="I54" s="5">
        <f>IF(B54=0,0,C54/B54)</f>
        <v>4.9964311206281229E-3</v>
      </c>
      <c r="J54" s="5">
        <f>IF(B54=0,0,D54/B54)</f>
        <v>0.88630145134427785</v>
      </c>
      <c r="K54" s="5">
        <f>IF(F54=0,0,B54/F54)</f>
        <v>1.0799948081620036E-3</v>
      </c>
      <c r="L54" s="3" t="str">
        <f>_xlfn.IFS(I54&gt;0.05,"High Risk",I54&gt;=0.02,"Moderate Risk",I54&lt;0.02,"Low Risk")</f>
        <v>Low Risk</v>
      </c>
      <c r="Q54" t="str">
        <v>Ecuador</v>
      </c>
    </row>
    <row r="55" spans="1:17" x14ac:dyDescent="0.3">
      <c r="A55" s="3" t="s">
        <v>111</v>
      </c>
      <c r="B55" s="3">
        <v>33296</v>
      </c>
      <c r="C55" s="3">
        <v>1301</v>
      </c>
      <c r="D55" s="3">
        <v>21205</v>
      </c>
      <c r="E55" s="3">
        <v>10790</v>
      </c>
      <c r="F55" s="3">
        <v>6534479</v>
      </c>
      <c r="G55" s="3" t="s">
        <v>13</v>
      </c>
      <c r="H55" s="4">
        <v>43908</v>
      </c>
      <c r="I55" s="5">
        <f>IF(B55=0,0,C55/B55)</f>
        <v>3.9073762614127823E-2</v>
      </c>
      <c r="J55" s="5">
        <f>IF(B55=0,0,D55/B55)</f>
        <v>0.63686328688130711</v>
      </c>
      <c r="K55" s="5">
        <f>IF(F55=0,0,B55/F55)</f>
        <v>5.0954330100379842E-3</v>
      </c>
      <c r="L55" s="3" t="str">
        <f>_xlfn.IFS(I55&gt;0.05,"High Risk",I55&gt;=0.02,"Moderate Risk",I55&lt;0.02,"Low Risk")</f>
        <v>Moderate Risk</v>
      </c>
      <c r="Q55" t="str">
        <v>Sweden</v>
      </c>
    </row>
    <row r="56" spans="1:17" x14ac:dyDescent="0.3">
      <c r="A56" s="3" t="s">
        <v>105</v>
      </c>
      <c r="B56" s="3">
        <v>31142</v>
      </c>
      <c r="C56" s="3">
        <v>998</v>
      </c>
      <c r="D56" s="3">
        <v>21970</v>
      </c>
      <c r="E56" s="3">
        <v>8174</v>
      </c>
      <c r="F56" s="3">
        <v>126435859</v>
      </c>
      <c r="G56" s="3" t="s">
        <v>13</v>
      </c>
      <c r="H56" s="4">
        <v>43846</v>
      </c>
      <c r="I56" s="5">
        <f>IF(B56=0,0,C56/B56)</f>
        <v>3.2046753580373774E-2</v>
      </c>
      <c r="J56" s="5">
        <f>IF(B56=0,0,D56/B56)</f>
        <v>0.70547813242566304</v>
      </c>
      <c r="K56" s="5">
        <f>IF(F56=0,0,B56/F56)</f>
        <v>2.4630670639094564E-4</v>
      </c>
      <c r="L56" s="3" t="str">
        <f>_xlfn.IFS(I56&gt;0.05,"High Risk",I56&gt;=0.02,"Moderate Risk",I56&lt;0.02,"Low Risk")</f>
        <v>Moderate Risk</v>
      </c>
      <c r="Q56" t="str">
        <v>Belgium</v>
      </c>
    </row>
    <row r="57" spans="1:17" x14ac:dyDescent="0.3">
      <c r="A57" s="3" t="s">
        <v>28</v>
      </c>
      <c r="B57" s="3">
        <v>30446</v>
      </c>
      <c r="C57" s="3">
        <v>423</v>
      </c>
      <c r="D57" s="3">
        <v>23242</v>
      </c>
      <c r="E57" s="3">
        <v>6781</v>
      </c>
      <c r="F57" s="3">
        <v>10148243</v>
      </c>
      <c r="G57" s="3" t="s">
        <v>13</v>
      </c>
      <c r="H57" s="4">
        <v>43889</v>
      </c>
      <c r="I57" s="5">
        <f>IF(B57=0,0,C57/B57)</f>
        <v>1.389345069959929E-2</v>
      </c>
      <c r="J57" s="5">
        <f>IF(B57=0,0,D57/B57)</f>
        <v>0.76338435262431847</v>
      </c>
      <c r="K57" s="5">
        <f>IF(F57=0,0,B57/F57)</f>
        <v>3.0001252433549336E-3</v>
      </c>
      <c r="L57" s="3" t="str">
        <f>_xlfn.IFS(I57&gt;0.05,"High Risk",I57&gt;=0.02,"Moderate Risk",I57&lt;0.02,"Low Risk")</f>
        <v>Low Risk</v>
      </c>
      <c r="Q57" t="str">
        <v>Netherlands</v>
      </c>
    </row>
    <row r="58" spans="1:17" x14ac:dyDescent="0.3">
      <c r="A58" s="3" t="s">
        <v>16</v>
      </c>
      <c r="B58" s="3">
        <v>27973</v>
      </c>
      <c r="C58" s="3">
        <v>1163</v>
      </c>
      <c r="D58" s="3">
        <v>18837</v>
      </c>
      <c r="E58" s="3">
        <v>7973</v>
      </c>
      <c r="F58" s="3">
        <v>43926079</v>
      </c>
      <c r="G58" s="3" t="s">
        <v>17</v>
      </c>
      <c r="H58" s="4">
        <v>43886</v>
      </c>
      <c r="I58" s="5">
        <f>IF(B58=0,0,C58/B58)</f>
        <v>4.1575805240767885E-2</v>
      </c>
      <c r="J58" s="5">
        <f>IF(B58=0,0,D58/B58)</f>
        <v>0.67339934937260926</v>
      </c>
      <c r="K58" s="5">
        <f>IF(F58=0,0,B58/F58)</f>
        <v>6.3681987185790017E-4</v>
      </c>
      <c r="L58" s="3" t="str">
        <f>_xlfn.IFS(I58&gt;0.05,"High Risk",I58&gt;=0.02,"Moderate Risk",I58&lt;0.02,"Low Risk")</f>
        <v>Moderate Risk</v>
      </c>
      <c r="Q58" t="str">
        <v>Switzerland</v>
      </c>
    </row>
    <row r="59" spans="1:17" x14ac:dyDescent="0.3">
      <c r="A59" s="3" t="s">
        <v>101</v>
      </c>
      <c r="B59" s="3">
        <v>25892</v>
      </c>
      <c r="C59" s="3">
        <v>1764</v>
      </c>
      <c r="D59" s="3">
        <v>23364</v>
      </c>
      <c r="E59" s="3">
        <v>764</v>
      </c>
      <c r="F59" s="3">
        <v>4943200</v>
      </c>
      <c r="G59" s="3" t="s">
        <v>15</v>
      </c>
      <c r="H59" s="4">
        <v>43890</v>
      </c>
      <c r="I59" s="5">
        <f>IF(B59=0,0,C59/B59)</f>
        <v>6.8129151861578863E-2</v>
      </c>
      <c r="J59" s="5">
        <f>IF(B59=0,0,D59/B59)</f>
        <v>0.90236366445234051</v>
      </c>
      <c r="K59" s="5">
        <f>IF(F59=0,0,B59/F59)</f>
        <v>5.2379025732319142E-3</v>
      </c>
      <c r="L59" s="3" t="str">
        <f>_xlfn.IFS(I59&gt;0.05,"High Risk",I59&gt;=0.02,"Moderate Risk",I59&lt;0.02,"Low Risk")</f>
        <v>High Risk</v>
      </c>
      <c r="Q59" t="str">
        <v>Ireland</v>
      </c>
    </row>
    <row r="60" spans="1:17" x14ac:dyDescent="0.3">
      <c r="A60" s="3" t="s">
        <v>165</v>
      </c>
      <c r="B60" s="3">
        <v>24141</v>
      </c>
      <c r="C60" s="3">
        <v>543</v>
      </c>
      <c r="D60" s="3">
        <v>0</v>
      </c>
      <c r="E60" s="3">
        <v>23598</v>
      </c>
      <c r="F60" s="3">
        <v>8733665</v>
      </c>
      <c r="G60" s="3" t="s">
        <v>15</v>
      </c>
      <c r="H60" s="4">
        <v>43896</v>
      </c>
      <c r="I60" s="5">
        <f>IF(B60=0,0,C60/B60)</f>
        <v>2.2492854479930408E-2</v>
      </c>
      <c r="J60" s="5">
        <f>IF(B60=0,0,D60/B60)</f>
        <v>0</v>
      </c>
      <c r="K60" s="5">
        <f>IF(F60=0,0,B60/F60)</f>
        <v>2.7641316675187334E-3</v>
      </c>
      <c r="L60" s="3" t="str">
        <f>_xlfn.IFS(I60&gt;0.05,"High Risk",I60&gt;=0.02,"Moderate Risk",I60&lt;0.02,"Low Risk")</f>
        <v>Moderate Risk</v>
      </c>
      <c r="Q60" t="str">
        <v>Sudan</v>
      </c>
    </row>
    <row r="61" spans="1:17" x14ac:dyDescent="0.3">
      <c r="A61" s="3" t="s">
        <v>130</v>
      </c>
      <c r="B61" s="3">
        <v>23154</v>
      </c>
      <c r="C61" s="3">
        <v>748</v>
      </c>
      <c r="D61" s="3">
        <v>16154</v>
      </c>
      <c r="E61" s="3">
        <v>6252</v>
      </c>
      <c r="F61" s="3">
        <v>4032983</v>
      </c>
      <c r="G61" s="3" t="s">
        <v>15</v>
      </c>
      <c r="H61" s="4">
        <v>43897</v>
      </c>
      <c r="I61" s="5">
        <f>IF(B61=0,0,C61/B61)</f>
        <v>3.2305433186490456E-2</v>
      </c>
      <c r="J61" s="5">
        <f>IF(B61=0,0,D61/B61)</f>
        <v>0.69767642739915348</v>
      </c>
      <c r="K61" s="5">
        <f>IF(F61=0,0,B61/F61)</f>
        <v>5.7411598313208854E-3</v>
      </c>
      <c r="L61" s="3" t="str">
        <f>_xlfn.IFS(I61&gt;0.05,"High Risk",I61&gt;=0.02,"Moderate Risk",I61&lt;0.02,"Low Risk")</f>
        <v>Moderate Risk</v>
      </c>
      <c r="Q61" t="str">
        <v>Hungary</v>
      </c>
    </row>
    <row r="62" spans="1:17" x14ac:dyDescent="0.3">
      <c r="A62" s="3" t="s">
        <v>197</v>
      </c>
      <c r="B62" s="3">
        <v>21209</v>
      </c>
      <c r="C62" s="3">
        <v>121</v>
      </c>
      <c r="D62" s="3">
        <v>11674</v>
      </c>
      <c r="E62" s="3">
        <v>9414</v>
      </c>
      <c r="F62" s="3">
        <v>33516027</v>
      </c>
      <c r="G62" s="3" t="s">
        <v>13</v>
      </c>
      <c r="H62" s="4">
        <v>43905</v>
      </c>
      <c r="I62" s="5">
        <f>IF(B62=0,0,C62/B62)</f>
        <v>5.7051251827054551E-3</v>
      </c>
      <c r="J62" s="5">
        <f>IF(B62=0,0,D62/B62)</f>
        <v>0.55042670564383045</v>
      </c>
      <c r="K62" s="5">
        <f>IF(F62=0,0,B62/F62)</f>
        <v>6.3280173392866643E-4</v>
      </c>
      <c r="L62" s="3" t="str">
        <f>_xlfn.IFS(I62&gt;0.05,"High Risk",I62&gt;=0.02,"Moderate Risk",I62&lt;0.02,"Low Risk")</f>
        <v>Low Risk</v>
      </c>
      <c r="Q62" t="str">
        <v>Slovenia</v>
      </c>
    </row>
    <row r="63" spans="1:17" x14ac:dyDescent="0.3">
      <c r="A63" s="3" t="s">
        <v>134</v>
      </c>
      <c r="B63" s="3">
        <v>20887</v>
      </c>
      <c r="C63" s="3">
        <v>316</v>
      </c>
      <c r="D63" s="3">
        <v>16553</v>
      </c>
      <c r="E63" s="3">
        <v>4018</v>
      </c>
      <c r="F63" s="3">
        <v>36953359</v>
      </c>
      <c r="G63" s="3" t="s">
        <v>17</v>
      </c>
      <c r="H63" s="4">
        <v>43892</v>
      </c>
      <c r="I63" s="5">
        <f>IF(B63=0,0,C63/B63)</f>
        <v>1.5129027624838417E-2</v>
      </c>
      <c r="J63" s="5">
        <f>IF(B63=0,0,D63/B63)</f>
        <v>0.79250251352515921</v>
      </c>
      <c r="K63" s="5">
        <f>IF(F63=0,0,B63/F63)</f>
        <v>5.6522601910153822E-4</v>
      </c>
      <c r="L63" s="3" t="str">
        <f>_xlfn.IFS(I63&gt;0.05,"High Risk",I63&gt;=0.02,"Moderate Risk",I63&lt;0.02,"Low Risk")</f>
        <v>Low Risk</v>
      </c>
      <c r="Q63" t="str">
        <v>Yemen</v>
      </c>
    </row>
    <row r="64" spans="1:17" x14ac:dyDescent="0.3">
      <c r="A64" s="3" t="s">
        <v>27</v>
      </c>
      <c r="B64" s="3">
        <v>20558</v>
      </c>
      <c r="C64" s="3">
        <v>713</v>
      </c>
      <c r="D64" s="3">
        <v>18246</v>
      </c>
      <c r="E64" s="3">
        <v>1599</v>
      </c>
      <c r="F64" s="3">
        <v>9011577</v>
      </c>
      <c r="G64" s="3" t="s">
        <v>15</v>
      </c>
      <c r="H64" s="4">
        <v>43886</v>
      </c>
      <c r="I64" s="5">
        <f>IF(B64=0,0,C64/B64)</f>
        <v>3.4682362097480303E-2</v>
      </c>
      <c r="J64" s="5">
        <f>IF(B64=0,0,D64/B64)</f>
        <v>0.88753769821967121</v>
      </c>
      <c r="K64" s="5">
        <f>IF(F64=0,0,B64/F64)</f>
        <v>2.2812877257776302E-3</v>
      </c>
      <c r="L64" s="3" t="str">
        <f>_xlfn.IFS(I64&gt;0.05,"High Risk",I64&gt;=0.02,"Moderate Risk",I64&lt;0.02,"Low Risk")</f>
        <v>Moderate Risk</v>
      </c>
      <c r="Q64" t="str">
        <v>Liberia</v>
      </c>
    </row>
    <row r="65" spans="1:17" x14ac:dyDescent="0.3">
      <c r="A65" s="3" t="s">
        <v>137</v>
      </c>
      <c r="B65" s="3">
        <v>18752</v>
      </c>
      <c r="C65" s="3">
        <v>48</v>
      </c>
      <c r="D65" s="3">
        <v>13754</v>
      </c>
      <c r="E65" s="3">
        <v>4950</v>
      </c>
      <c r="F65" s="3">
        <v>29186486</v>
      </c>
      <c r="G65" s="3" t="s">
        <v>13</v>
      </c>
      <c r="H65" s="4">
        <v>43843</v>
      </c>
      <c r="I65" s="5">
        <f>IF(B65=0,0,C65/B65)</f>
        <v>2.5597269624573378E-3</v>
      </c>
      <c r="J65" s="5">
        <f>IF(B65=0,0,D65/B65)</f>
        <v>0.73346843003412965</v>
      </c>
      <c r="K65" s="5">
        <f>IF(F65=0,0,B65/F65)</f>
        <v>6.4248913007204774E-4</v>
      </c>
      <c r="L65" s="3" t="str">
        <f>_xlfn.IFS(I65&gt;0.05,"High Risk",I65&gt;=0.02,"Moderate Risk",I65&lt;0.02,"Low Risk")</f>
        <v>Low Risk</v>
      </c>
      <c r="Q65" t="str">
        <v>Niger</v>
      </c>
    </row>
    <row r="66" spans="1:17" x14ac:dyDescent="0.3">
      <c r="A66" s="3" t="s">
        <v>108</v>
      </c>
      <c r="B66" s="3">
        <v>17975</v>
      </c>
      <c r="C66" s="3">
        <v>285</v>
      </c>
      <c r="D66" s="3">
        <v>7833</v>
      </c>
      <c r="E66" s="3">
        <v>9857</v>
      </c>
      <c r="F66" s="3">
        <v>53881160</v>
      </c>
      <c r="G66" s="3" t="s">
        <v>17</v>
      </c>
      <c r="H66" s="4">
        <v>43903</v>
      </c>
      <c r="I66" s="5">
        <f>IF(B66=0,0,C66/B66)</f>
        <v>1.5855354659248956E-2</v>
      </c>
      <c r="J66" s="5">
        <f>IF(B66=0,0,D66/B66)</f>
        <v>0.4357719054242003</v>
      </c>
      <c r="K66" s="5">
        <f>IF(F66=0,0,B66/F66)</f>
        <v>3.3360454748932648E-4</v>
      </c>
      <c r="L66" s="3" t="str">
        <f>_xlfn.IFS(I66&gt;0.05,"High Risk",I66&gt;=0.02,"Moderate Risk",I66&lt;0.02,"Low Risk")</f>
        <v>Low Risk</v>
      </c>
      <c r="Q66" t="str">
        <v>Chad</v>
      </c>
    </row>
    <row r="67" spans="1:17" x14ac:dyDescent="0.3">
      <c r="A67" s="3" t="s">
        <v>49</v>
      </c>
      <c r="B67" s="3">
        <v>17110</v>
      </c>
      <c r="C67" s="3">
        <v>391</v>
      </c>
      <c r="D67" s="3">
        <v>14539</v>
      </c>
      <c r="E67" s="3">
        <v>2180</v>
      </c>
      <c r="F67" s="3">
        <v>26606188</v>
      </c>
      <c r="G67" s="3" t="s">
        <v>17</v>
      </c>
      <c r="H67" s="4">
        <v>43896</v>
      </c>
      <c r="I67" s="5">
        <f>IF(B67=0,0,C67/B67)</f>
        <v>2.2852133255406196E-2</v>
      </c>
      <c r="J67" s="5">
        <f>IF(B67=0,0,D67/B67)</f>
        <v>0.84973699590882523</v>
      </c>
      <c r="K67" s="5">
        <f>IF(F67=0,0,B67/F67)</f>
        <v>6.4308348118114476E-4</v>
      </c>
      <c r="L67" s="3" t="str">
        <f>_xlfn.IFS(I67&gt;0.05,"High Risk",I67&gt;=0.02,"Moderate Risk",I67&lt;0.02,"Low Risk")</f>
        <v>Moderate Risk</v>
      </c>
      <c r="Q67" t="str">
        <v>Andorra</v>
      </c>
    </row>
    <row r="68" spans="1:17" x14ac:dyDescent="0.3">
      <c r="A68" s="3" t="s">
        <v>198</v>
      </c>
      <c r="B68" s="3">
        <v>15988</v>
      </c>
      <c r="C68" s="3">
        <v>146</v>
      </c>
      <c r="D68" s="3">
        <v>9959</v>
      </c>
      <c r="E68" s="3">
        <v>5883</v>
      </c>
      <c r="F68" s="3">
        <v>28427499</v>
      </c>
      <c r="G68" s="3" t="s">
        <v>23</v>
      </c>
      <c r="H68" s="4">
        <v>43903</v>
      </c>
      <c r="I68" s="5">
        <f>IF(B68=0,0,C68/B68)</f>
        <v>9.1318488866649981E-3</v>
      </c>
      <c r="J68" s="5">
        <f>IF(B68=0,0,D68/B68)</f>
        <v>0.62290467850888165</v>
      </c>
      <c r="K68" s="5">
        <f>IF(F68=0,0,B68/F68)</f>
        <v>5.624131760588577E-4</v>
      </c>
      <c r="L68" s="3" t="str">
        <f>_xlfn.IFS(I68&gt;0.05,"High Risk",I68&gt;=0.02,"Moderate Risk",I68&lt;0.02,"Low Risk")</f>
        <v>Low Risk</v>
      </c>
      <c r="Q68" t="str">
        <v>San Marino</v>
      </c>
    </row>
    <row r="69" spans="1:17" x14ac:dyDescent="0.3">
      <c r="A69" s="3" t="s">
        <v>59</v>
      </c>
      <c r="B69" s="3">
        <v>15841</v>
      </c>
      <c r="C69" s="3">
        <v>115</v>
      </c>
      <c r="D69" s="3">
        <v>3824</v>
      </c>
      <c r="E69" s="3">
        <v>11902</v>
      </c>
      <c r="F69" s="3">
        <v>5098730</v>
      </c>
      <c r="G69" s="3" t="s">
        <v>21</v>
      </c>
      <c r="H69" s="4">
        <v>43896</v>
      </c>
      <c r="I69" s="5">
        <f>IF(B69=0,0,C69/B69)</f>
        <v>7.2596426993245377E-3</v>
      </c>
      <c r="J69" s="5">
        <f>IF(B69=0,0,D69/B69)</f>
        <v>0.24139890158449592</v>
      </c>
      <c r="K69" s="5">
        <f>IF(F69=0,0,B69/F69)</f>
        <v>3.1068520984637352E-3</v>
      </c>
      <c r="L69" s="3" t="str">
        <f>_xlfn.IFS(I69&gt;0.05,"High Risk",I69&gt;=0.02,"Moderate Risk",I69&lt;0.02,"Low Risk")</f>
        <v>Low Risk</v>
      </c>
      <c r="Q69" t="str">
        <v>Syria</v>
      </c>
    </row>
    <row r="70" spans="1:17" x14ac:dyDescent="0.3">
      <c r="A70" s="3" t="s">
        <v>60</v>
      </c>
      <c r="B70" s="3">
        <v>15655</v>
      </c>
      <c r="C70" s="3">
        <v>96</v>
      </c>
      <c r="D70" s="3">
        <v>10361</v>
      </c>
      <c r="E70" s="3">
        <v>5198</v>
      </c>
      <c r="F70" s="3">
        <v>26172000</v>
      </c>
      <c r="G70" s="3" t="s">
        <v>17</v>
      </c>
      <c r="H70" s="4">
        <v>43901</v>
      </c>
      <c r="I70" s="5">
        <f>IF(B70=0,0,C70/B70)</f>
        <v>6.1322261258383902E-3</v>
      </c>
      <c r="J70" s="5">
        <f>IF(B70=0,0,D70/B70)</f>
        <v>0.66183328010220377</v>
      </c>
      <c r="K70" s="5">
        <f>IF(F70=0,0,B70/F70)</f>
        <v>5.9815833715421058E-4</v>
      </c>
      <c r="L70" s="3" t="str">
        <f>_xlfn.IFS(I70&gt;0.05,"High Risk",I70&gt;=0.02,"Moderate Risk",I70&lt;0.02,"Low Risk")</f>
        <v>Low Risk</v>
      </c>
      <c r="Q70" t="str">
        <v>Guyana</v>
      </c>
    </row>
    <row r="71" spans="1:17" x14ac:dyDescent="0.3">
      <c r="A71" s="3" t="s">
        <v>64</v>
      </c>
      <c r="B71" s="3">
        <v>15516</v>
      </c>
      <c r="C71" s="3">
        <v>373</v>
      </c>
      <c r="D71" s="3">
        <v>11428</v>
      </c>
      <c r="E71" s="3">
        <v>3715</v>
      </c>
      <c r="F71" s="3">
        <v>10711019</v>
      </c>
      <c r="G71" s="3" t="s">
        <v>15</v>
      </c>
      <c r="H71" s="4">
        <v>43891</v>
      </c>
      <c r="I71" s="5">
        <f>IF(B71=0,0,C71/B71)</f>
        <v>2.4039700953854087E-2</v>
      </c>
      <c r="J71" s="5">
        <f>IF(B71=0,0,D71/B71)</f>
        <v>0.7365300335137922</v>
      </c>
      <c r="K71" s="5">
        <f>IF(F71=0,0,B71/F71)</f>
        <v>1.4486016689915311E-3</v>
      </c>
      <c r="L71" s="3" t="str">
        <f>_xlfn.IFS(I71&gt;0.05,"High Risk",I71&gt;=0.02,"Moderate Risk",I71&lt;0.02,"Low Risk")</f>
        <v>Moderate Risk</v>
      </c>
      <c r="Q71" t="str">
        <v>Trinidad and Tobago</v>
      </c>
    </row>
    <row r="72" spans="1:17" x14ac:dyDescent="0.3">
      <c r="A72" s="3" t="s">
        <v>25</v>
      </c>
      <c r="B72" s="3">
        <v>15303</v>
      </c>
      <c r="C72" s="3">
        <v>167</v>
      </c>
      <c r="D72" s="3">
        <v>9311</v>
      </c>
      <c r="E72" s="3">
        <v>5825</v>
      </c>
      <c r="F72" s="3">
        <v>25528864</v>
      </c>
      <c r="G72" s="3" t="s">
        <v>26</v>
      </c>
      <c r="H72" s="4">
        <v>43855</v>
      </c>
      <c r="I72" s="5">
        <f>IF(B72=0,0,C72/B72)</f>
        <v>1.0912892896817617E-2</v>
      </c>
      <c r="J72" s="5">
        <f>IF(B72=0,0,D72/B72)</f>
        <v>0.60844278899562176</v>
      </c>
      <c r="K72" s="5">
        <f>IF(F72=0,0,B72/F72)</f>
        <v>5.9943912897965216E-4</v>
      </c>
      <c r="L72" s="3" t="str">
        <f>_xlfn.IFS(I72&gt;0.05,"High Risk",I72&gt;=0.02,"Moderate Risk",I72&lt;0.02,"Low Risk")</f>
        <v>Low Risk</v>
      </c>
      <c r="Q72" t="str">
        <v>Barbados</v>
      </c>
    </row>
    <row r="73" spans="1:17" x14ac:dyDescent="0.3">
      <c r="A73" s="3" t="s">
        <v>71</v>
      </c>
      <c r="B73" s="3">
        <v>15035</v>
      </c>
      <c r="C73" s="3">
        <v>408</v>
      </c>
      <c r="D73" s="3">
        <v>7778</v>
      </c>
      <c r="E73" s="3">
        <v>6849</v>
      </c>
      <c r="F73" s="3">
        <v>6489514</v>
      </c>
      <c r="G73" s="3" t="s">
        <v>21</v>
      </c>
      <c r="H73" s="4">
        <v>43909</v>
      </c>
      <c r="I73" s="5">
        <f>IF(B73=0,0,C73/B73)</f>
        <v>2.7136681077485868E-2</v>
      </c>
      <c r="J73" s="5">
        <f>IF(B73=0,0,D73/B73)</f>
        <v>0.51732623877618888</v>
      </c>
      <c r="K73" s="5">
        <f>IF(F73=0,0,B73/F73)</f>
        <v>2.3168144794818227E-3</v>
      </c>
      <c r="L73" s="3" t="str">
        <f>_xlfn.IFS(I73&gt;0.05,"High Risk",I73&gt;=0.02,"Moderate Risk",I73&lt;0.02,"Low Risk")</f>
        <v>Moderate Risk</v>
      </c>
      <c r="Q73" t="str">
        <v>Western Sahara</v>
      </c>
    </row>
    <row r="74" spans="1:17" x14ac:dyDescent="0.3">
      <c r="A74" s="3" t="s">
        <v>76</v>
      </c>
      <c r="B74" s="3">
        <v>14547</v>
      </c>
      <c r="C74" s="3">
        <v>228</v>
      </c>
      <c r="D74" s="3">
        <v>6386</v>
      </c>
      <c r="E74" s="3">
        <v>7933</v>
      </c>
      <c r="F74" s="3">
        <v>115223736</v>
      </c>
      <c r="G74" s="3" t="s">
        <v>17</v>
      </c>
      <c r="H74" s="4">
        <v>43903</v>
      </c>
      <c r="I74" s="5">
        <f>IF(B74=0,0,C74/B74)</f>
        <v>1.5673334708187256E-2</v>
      </c>
      <c r="J74" s="5">
        <f>IF(B74=0,0,D74/B74)</f>
        <v>0.43899085722142023</v>
      </c>
      <c r="K74" s="5">
        <f>IF(F74=0,0,B74/F74)</f>
        <v>1.2625002890029533E-4</v>
      </c>
      <c r="L74" s="3" t="str">
        <f>_xlfn.IFS(I74&gt;0.05,"High Risk",I74&gt;=0.02,"Moderate Risk",I74&lt;0.02,"Low Risk")</f>
        <v>Low Risk</v>
      </c>
    </row>
    <row r="75" spans="1:17" x14ac:dyDescent="0.3">
      <c r="A75" s="3" t="s">
        <v>173</v>
      </c>
      <c r="B75" s="3">
        <v>14203</v>
      </c>
      <c r="C75" s="3">
        <v>300</v>
      </c>
      <c r="D75" s="3">
        <v>13007</v>
      </c>
      <c r="E75" s="3">
        <v>896</v>
      </c>
      <c r="F75" s="3">
        <v>51273732</v>
      </c>
      <c r="G75" s="3" t="s">
        <v>13</v>
      </c>
      <c r="H75" s="4">
        <v>43850</v>
      </c>
      <c r="I75" s="5">
        <f>IF(B75=0,0,C75/B75)</f>
        <v>2.1122298106033936E-2</v>
      </c>
      <c r="J75" s="5">
        <f>IF(B75=0,0,D75/B75)</f>
        <v>0.91579243821727807</v>
      </c>
      <c r="K75" s="5">
        <f>IF(F75=0,0,B75/F75)</f>
        <v>2.7700343715959667E-4</v>
      </c>
      <c r="L75" s="3" t="str">
        <f>_xlfn.IFS(I75&gt;0.05,"High Risk",I75&gt;=0.02,"Moderate Risk",I75&lt;0.02,"Low Risk")</f>
        <v>Moderate Risk</v>
      </c>
      <c r="Q75" s="11" t="s">
        <v>214</v>
      </c>
    </row>
    <row r="76" spans="1:17" x14ac:dyDescent="0.3">
      <c r="A76" s="3" t="s">
        <v>65</v>
      </c>
      <c r="B76" s="3">
        <v>13761</v>
      </c>
      <c r="C76" s="3">
        <v>613</v>
      </c>
      <c r="D76" s="3">
        <v>12605</v>
      </c>
      <c r="E76" s="3">
        <v>543</v>
      </c>
      <c r="F76" s="3">
        <v>5794279</v>
      </c>
      <c r="G76" s="3" t="s">
        <v>15</v>
      </c>
      <c r="H76" s="4">
        <v>43888</v>
      </c>
      <c r="I76" s="5">
        <f>IF(B76=0,0,C76/B76)</f>
        <v>4.454618123682872E-2</v>
      </c>
      <c r="J76" s="5">
        <f>IF(B76=0,0,D76/B76)</f>
        <v>0.91599447714555626</v>
      </c>
      <c r="K76" s="5">
        <f>IF(F76=0,0,B76/F76)</f>
        <v>2.3749287875160997E-3</v>
      </c>
      <c r="L76" s="3" t="str">
        <f>_xlfn.IFS(I76&gt;0.05,"High Risk",I76&gt;=0.02,"Moderate Risk",I76&lt;0.02,"Low Risk")</f>
        <v>Moderate Risk</v>
      </c>
      <c r="Q76" s="13"/>
    </row>
    <row r="77" spans="1:17" x14ac:dyDescent="0.3">
      <c r="A77" s="3" t="s">
        <v>177</v>
      </c>
      <c r="B77" s="3">
        <v>11424</v>
      </c>
      <c r="C77" s="3">
        <v>720</v>
      </c>
      <c r="D77" s="3">
        <v>5939</v>
      </c>
      <c r="E77" s="3">
        <v>4765</v>
      </c>
      <c r="F77" s="3">
        <v>43943536</v>
      </c>
      <c r="G77" s="3" t="s">
        <v>17</v>
      </c>
      <c r="H77" s="4">
        <v>43903</v>
      </c>
      <c r="I77" s="5">
        <f>IF(B77=0,0,C77/B77)</f>
        <v>6.3025210084033612E-2</v>
      </c>
      <c r="J77" s="5">
        <f>IF(B77=0,0,D77/B77)</f>
        <v>0.51987044817927175</v>
      </c>
      <c r="K77" s="5">
        <f>IF(F77=0,0,B77/F77)</f>
        <v>2.5996997601649536E-4</v>
      </c>
      <c r="L77" s="3" t="str">
        <f>_xlfn.IFS(I77&gt;0.05,"High Risk",I77&gt;=0.02,"Moderate Risk",I77&lt;0.02,"Low Risk")</f>
        <v>High Risk</v>
      </c>
      <c r="Q77" s="14" t="s">
        <v>215</v>
      </c>
    </row>
    <row r="78" spans="1:17" x14ac:dyDescent="0.3">
      <c r="A78" s="3" t="s">
        <v>43</v>
      </c>
      <c r="B78" s="3">
        <v>10621</v>
      </c>
      <c r="C78" s="3">
        <v>347</v>
      </c>
      <c r="D78" s="3">
        <v>5585</v>
      </c>
      <c r="E78" s="3">
        <v>4689</v>
      </c>
      <c r="F78" s="3">
        <v>6942854</v>
      </c>
      <c r="G78" s="3" t="s">
        <v>15</v>
      </c>
      <c r="H78" s="4">
        <v>43898</v>
      </c>
      <c r="I78" s="5">
        <f>IF(B78=0,0,C78/B78)</f>
        <v>3.2671123246398641E-2</v>
      </c>
      <c r="J78" s="5">
        <f>IF(B78=0,0,D78/B78)</f>
        <v>0.52584502400903865</v>
      </c>
      <c r="K78" s="5">
        <f>IF(F78=0,0,B78/F78)</f>
        <v>1.5297743550418891E-3</v>
      </c>
      <c r="L78" s="3" t="str">
        <f>_xlfn.IFS(I78&gt;0.05,"High Risk",I78&gt;=0.02,"Moderate Risk",I78&lt;0.02,"Low Risk")</f>
        <v>Moderate Risk</v>
      </c>
      <c r="Q78" s="16" t="s">
        <v>216</v>
      </c>
    </row>
    <row r="79" spans="1:17" x14ac:dyDescent="0.3">
      <c r="A79" s="3" t="s">
        <v>200</v>
      </c>
      <c r="B79" s="3">
        <v>10621</v>
      </c>
      <c r="C79" s="3">
        <v>78</v>
      </c>
      <c r="D79" s="3">
        <v>3752</v>
      </c>
      <c r="E79" s="3">
        <v>6791</v>
      </c>
      <c r="F79" s="3">
        <v>4800000</v>
      </c>
      <c r="G79" s="3" t="s">
        <v>13</v>
      </c>
      <c r="H79" s="4">
        <v>43895</v>
      </c>
      <c r="I79" s="5">
        <f>IF(B79=0,0,C79/B79)</f>
        <v>7.3439412484700125E-3</v>
      </c>
      <c r="J79" s="5">
        <f>IF(B79=0,0,D79/B79)</f>
        <v>0.35326240466999342</v>
      </c>
      <c r="K79" s="5">
        <f>IF(F79=0,0,B79/F79)</f>
        <v>2.2127083333333335E-3</v>
      </c>
      <c r="L79" s="3" t="str">
        <f>_xlfn.IFS(I79&gt;0.05,"High Risk",I79&gt;=0.02,"Moderate Risk",I79&lt;0.02,"Low Risk")</f>
        <v>Low Risk</v>
      </c>
      <c r="Q79" s="16" t="s">
        <v>217</v>
      </c>
    </row>
    <row r="80" spans="1:17" x14ac:dyDescent="0.3">
      <c r="A80" s="3" t="s">
        <v>39</v>
      </c>
      <c r="B80" s="3">
        <v>10498</v>
      </c>
      <c r="C80" s="3">
        <v>294</v>
      </c>
      <c r="D80" s="3">
        <v>4930</v>
      </c>
      <c r="E80" s="3">
        <v>5274</v>
      </c>
      <c r="F80" s="3">
        <v>3278650</v>
      </c>
      <c r="G80" s="3" t="s">
        <v>15</v>
      </c>
      <c r="H80" s="4">
        <v>43895</v>
      </c>
      <c r="I80" s="5">
        <f>IF(B80=0,0,C80/B80)</f>
        <v>2.8005334349399887E-2</v>
      </c>
      <c r="J80" s="5">
        <f>IF(B80=0,0,D80/B80)</f>
        <v>0.46961325966850831</v>
      </c>
      <c r="K80" s="5">
        <f>IF(F80=0,0,B80/F80)</f>
        <v>3.2019276226495663E-3</v>
      </c>
      <c r="L80" s="3" t="str">
        <f>_xlfn.IFS(I80&gt;0.05,"High Risk",I80&gt;=0.02,"Moderate Risk",I80&lt;0.02,"Low Risk")</f>
        <v>Moderate Risk</v>
      </c>
      <c r="Q80" s="16" t="s">
        <v>218</v>
      </c>
    </row>
    <row r="81" spans="1:17" x14ac:dyDescent="0.3">
      <c r="A81" s="3" t="s">
        <v>143</v>
      </c>
      <c r="B81" s="3">
        <v>10213</v>
      </c>
      <c r="C81" s="3">
        <v>466</v>
      </c>
      <c r="D81" s="3">
        <v>5564</v>
      </c>
      <c r="E81" s="3">
        <v>4183</v>
      </c>
      <c r="F81" s="3">
        <v>2083365</v>
      </c>
      <c r="G81" s="3" t="s">
        <v>15</v>
      </c>
      <c r="H81" s="4">
        <v>43887</v>
      </c>
      <c r="I81" s="5">
        <f>IF(B81=0,0,C81/B81)</f>
        <v>4.5628121022226575E-2</v>
      </c>
      <c r="J81" s="5">
        <f>IF(B81=0,0,D81/B81)</f>
        <v>0.54479584842847351</v>
      </c>
      <c r="K81" s="5">
        <f>IF(F81=0,0,B81/F81)</f>
        <v>4.9021654870845966E-3</v>
      </c>
      <c r="L81" s="3" t="str">
        <f>_xlfn.IFS(I81&gt;0.05,"High Risk",I81&gt;=0.02,"Moderate Risk",I81&lt;0.02,"Low Risk")</f>
        <v>Moderate Risk</v>
      </c>
      <c r="Q81" s="16" t="s">
        <v>219</v>
      </c>
    </row>
    <row r="82" spans="1:17" x14ac:dyDescent="0.3">
      <c r="A82" s="3" t="s">
        <v>164</v>
      </c>
      <c r="B82" s="3">
        <v>9764</v>
      </c>
      <c r="C82" s="3">
        <v>194</v>
      </c>
      <c r="D82" s="3">
        <v>6477</v>
      </c>
      <c r="E82" s="3">
        <v>3093</v>
      </c>
      <c r="F82" s="3">
        <v>16783877</v>
      </c>
      <c r="G82" s="3" t="s">
        <v>17</v>
      </c>
      <c r="H82" s="4">
        <v>43892</v>
      </c>
      <c r="I82" s="5">
        <f>IF(B82=0,0,C82/B82)</f>
        <v>1.9868906185989348E-2</v>
      </c>
      <c r="J82" s="5">
        <f>IF(B82=0,0,D82/B82)</f>
        <v>0.66335518230233514</v>
      </c>
      <c r="K82" s="5">
        <f>IF(F82=0,0,B82/F82)</f>
        <v>5.8174878188156404E-4</v>
      </c>
      <c r="L82" s="3" t="str">
        <f>_xlfn.IFS(I82&gt;0.05,"High Risk",I82&gt;=0.02,"Moderate Risk",I82&lt;0.02,"Low Risk")</f>
        <v>Low Risk</v>
      </c>
      <c r="Q82" s="15"/>
    </row>
    <row r="83" spans="1:17" x14ac:dyDescent="0.3">
      <c r="A83" s="3" t="s">
        <v>121</v>
      </c>
      <c r="B83" s="3">
        <v>9690</v>
      </c>
      <c r="C83" s="3">
        <v>91</v>
      </c>
      <c r="D83" s="3">
        <v>6260</v>
      </c>
      <c r="E83" s="3">
        <v>3339</v>
      </c>
      <c r="F83" s="3">
        <v>27755708</v>
      </c>
      <c r="G83" s="3" t="s">
        <v>17</v>
      </c>
      <c r="H83" s="4">
        <v>43910</v>
      </c>
      <c r="I83" s="5">
        <f>IF(B83=0,0,C83/B83)</f>
        <v>9.3911248710010324E-3</v>
      </c>
      <c r="J83" s="5">
        <f>IF(B83=0,0,D83/B83)</f>
        <v>0.6460268317853457</v>
      </c>
      <c r="K83" s="5">
        <f>IF(F83=0,0,B83/F83)</f>
        <v>3.491173779461868E-4</v>
      </c>
      <c r="L83" s="3" t="str">
        <f>_xlfn.IFS(I83&gt;0.05,"High Risk",I83&gt;=0.02,"Moderate Risk",I83&lt;0.02,"Low Risk")</f>
        <v>Low Risk</v>
      </c>
      <c r="Q83" s="16"/>
    </row>
    <row r="84" spans="1:17" x14ac:dyDescent="0.3">
      <c r="A84" s="3" t="s">
        <v>144</v>
      </c>
      <c r="B84" s="3">
        <v>9132</v>
      </c>
      <c r="C84" s="3">
        <v>255</v>
      </c>
      <c r="D84" s="3">
        <v>8752</v>
      </c>
      <c r="E84" s="3">
        <v>125</v>
      </c>
      <c r="F84" s="3">
        <v>5425471</v>
      </c>
      <c r="G84" s="3" t="s">
        <v>15</v>
      </c>
      <c r="H84" s="4">
        <v>43887</v>
      </c>
      <c r="I84" s="5">
        <f>IF(B84=0,0,C84/B84)</f>
        <v>2.7923784494086726E-2</v>
      </c>
      <c r="J84" s="5">
        <f>IF(B84=0,0,D84/B84)</f>
        <v>0.95838808585194923</v>
      </c>
      <c r="K84" s="5">
        <f>IF(F84=0,0,B84/F84)</f>
        <v>1.6831718389057834E-3</v>
      </c>
      <c r="L84" s="3" t="str">
        <f>_xlfn.IFS(I84&gt;0.05,"High Risk",I84&gt;=0.02,"Moderate Risk",I84&lt;0.02,"Low Risk")</f>
        <v>Moderate Risk</v>
      </c>
      <c r="Q84" s="15"/>
    </row>
    <row r="85" spans="1:17" x14ac:dyDescent="0.3">
      <c r="A85" s="3" t="s">
        <v>123</v>
      </c>
      <c r="B85" s="3">
        <v>8904</v>
      </c>
      <c r="C85" s="3">
        <v>124</v>
      </c>
      <c r="D85" s="3">
        <v>8601</v>
      </c>
      <c r="E85" s="3">
        <v>179</v>
      </c>
      <c r="F85" s="3">
        <v>32406372</v>
      </c>
      <c r="G85" s="3" t="s">
        <v>13</v>
      </c>
      <c r="H85" s="4">
        <v>43855</v>
      </c>
      <c r="I85" s="5">
        <f>IF(B85=0,0,C85/B85)</f>
        <v>1.3926325247079964E-2</v>
      </c>
      <c r="J85" s="5">
        <f>IF(B85=0,0,D85/B85)</f>
        <v>0.96597035040431267</v>
      </c>
      <c r="K85" s="5">
        <f>IF(F85=0,0,B85/F85)</f>
        <v>2.7476077852837093E-4</v>
      </c>
      <c r="L85" s="3" t="str">
        <f>_xlfn.IFS(I85&gt;0.05,"High Risk",I85&gt;=0.02,"Moderate Risk",I85&lt;0.02,"Low Risk")</f>
        <v>Low Risk</v>
      </c>
      <c r="Q85" s="16"/>
    </row>
    <row r="86" spans="1:17" x14ac:dyDescent="0.3">
      <c r="A86" s="3" t="s">
        <v>58</v>
      </c>
      <c r="B86" s="3">
        <v>8844</v>
      </c>
      <c r="C86" s="3">
        <v>208</v>
      </c>
      <c r="D86" s="3">
        <v>5700</v>
      </c>
      <c r="E86" s="3">
        <v>2936</v>
      </c>
      <c r="F86" s="3">
        <v>96076573</v>
      </c>
      <c r="G86" s="3" t="s">
        <v>17</v>
      </c>
      <c r="H86" s="4">
        <v>43900</v>
      </c>
      <c r="I86" s="5">
        <f>IF(B86=0,0,C86/B86)</f>
        <v>2.3518769787426504E-2</v>
      </c>
      <c r="J86" s="5">
        <f>IF(B86=0,0,D86/B86)</f>
        <v>0.64450474898236088</v>
      </c>
      <c r="K86" s="5">
        <f>IF(F86=0,0,B86/F86)</f>
        <v>9.2051576402501362E-5</v>
      </c>
      <c r="L86" s="3" t="str">
        <f>_xlfn.IFS(I86&gt;0.05,"High Risk",I86&gt;=0.02,"Moderate Risk",I86&lt;0.02,"Low Risk")</f>
        <v>Moderate Risk</v>
      </c>
      <c r="Q86" s="15"/>
    </row>
    <row r="87" spans="1:17" x14ac:dyDescent="0.3">
      <c r="A87" s="3" t="s">
        <v>109</v>
      </c>
      <c r="B87" s="3">
        <v>7413</v>
      </c>
      <c r="C87" s="3">
        <v>185</v>
      </c>
      <c r="D87" s="3">
        <v>4027</v>
      </c>
      <c r="E87" s="3">
        <v>3201</v>
      </c>
      <c r="F87" s="3">
        <v>1790152</v>
      </c>
      <c r="G87" s="3" t="s">
        <v>15</v>
      </c>
      <c r="H87" s="4">
        <v>43903</v>
      </c>
      <c r="I87" s="5">
        <f>IF(B87=0,0,C87/B87)</f>
        <v>2.4956158100634021E-2</v>
      </c>
      <c r="J87" s="5">
        <f>IF(B87=0,0,D87/B87)</f>
        <v>0.54323485768244972</v>
      </c>
      <c r="K87" s="5">
        <f>IF(F87=0,0,B87/F87)</f>
        <v>4.1409891450558392E-3</v>
      </c>
      <c r="L87" s="3" t="str">
        <f>_xlfn.IFS(I87&gt;0.05,"High Risk",I87&gt;=0.02,"Moderate Risk",I87&lt;0.02,"Low Risk")</f>
        <v>Moderate Risk</v>
      </c>
      <c r="Q87" s="16"/>
    </row>
    <row r="88" spans="1:17" x14ac:dyDescent="0.3">
      <c r="A88" s="3" t="s">
        <v>78</v>
      </c>
      <c r="B88" s="3">
        <v>7398</v>
      </c>
      <c r="C88" s="3">
        <v>329</v>
      </c>
      <c r="D88" s="3">
        <v>6920</v>
      </c>
      <c r="E88" s="3">
        <v>149</v>
      </c>
      <c r="F88" s="3">
        <v>5541604</v>
      </c>
      <c r="G88" s="3" t="s">
        <v>15</v>
      </c>
      <c r="H88" s="4">
        <v>43887</v>
      </c>
      <c r="I88" s="5">
        <f>IF(B88=0,0,C88/B88)</f>
        <v>4.4471478778048121E-2</v>
      </c>
      <c r="J88" s="5">
        <f>IF(B88=0,0,D88/B88)</f>
        <v>0.93538794268721281</v>
      </c>
      <c r="K88" s="5">
        <f>IF(F88=0,0,B88/F88)</f>
        <v>1.334992540066017E-3</v>
      </c>
      <c r="L88" s="3" t="str">
        <f>_xlfn.IFS(I88&gt;0.05,"High Risk",I88&gt;=0.02,"Moderate Risk",I88&lt;0.02,"Low Risk")</f>
        <v>Moderate Risk</v>
      </c>
    </row>
    <row r="89" spans="1:17" x14ac:dyDescent="0.3">
      <c r="A89" s="3" t="s">
        <v>92</v>
      </c>
      <c r="B89" s="3">
        <v>7340</v>
      </c>
      <c r="C89" s="3">
        <v>158</v>
      </c>
      <c r="D89" s="3">
        <v>4365</v>
      </c>
      <c r="E89" s="3">
        <v>2817</v>
      </c>
      <c r="F89" s="3">
        <v>11416103</v>
      </c>
      <c r="G89" s="3" t="s">
        <v>21</v>
      </c>
      <c r="H89" s="4">
        <v>43909</v>
      </c>
      <c r="I89" s="5">
        <f>IF(B89=0,0,C89/B89)</f>
        <v>2.1525885558583105E-2</v>
      </c>
      <c r="J89" s="5">
        <f>IF(B89=0,0,D89/B89)</f>
        <v>0.59468664850136244</v>
      </c>
      <c r="K89" s="5">
        <f>IF(F89=0,0,B89/F89)</f>
        <v>6.4295145199723587E-4</v>
      </c>
      <c r="L89" s="3" t="str">
        <f>_xlfn.IFS(I89&gt;0.05,"High Risk",I89&gt;=0.02,"Moderate Risk",I89&lt;0.02,"Low Risk")</f>
        <v>Moderate Risk</v>
      </c>
    </row>
    <row r="90" spans="1:17" x14ac:dyDescent="0.3">
      <c r="A90" s="3" t="s">
        <v>183</v>
      </c>
      <c r="B90" s="3">
        <v>7235</v>
      </c>
      <c r="C90" s="3">
        <v>60</v>
      </c>
      <c r="D90" s="3">
        <v>6028</v>
      </c>
      <c r="E90" s="3">
        <v>1147</v>
      </c>
      <c r="F90" s="3">
        <v>9557468</v>
      </c>
      <c r="G90" s="3" t="s">
        <v>13</v>
      </c>
      <c r="H90" s="4">
        <v>43951</v>
      </c>
      <c r="I90" s="5">
        <f>IF(B90=0,0,C90/B90)</f>
        <v>8.2930200414651004E-3</v>
      </c>
      <c r="J90" s="5">
        <f>IF(B90=0,0,D90/B90)</f>
        <v>0.83317208016586042</v>
      </c>
      <c r="K90" s="5">
        <f>IF(F90=0,0,B90/F90)</f>
        <v>7.569996572313922E-4</v>
      </c>
      <c r="L90" s="3" t="str">
        <f>_xlfn.IFS(I90&gt;0.05,"High Risk",I90&gt;=0.02,"Moderate Risk",I90&lt;0.02,"Low Risk")</f>
        <v>Low Risk</v>
      </c>
    </row>
    <row r="91" spans="1:17" x14ac:dyDescent="0.3">
      <c r="A91" s="3" t="s">
        <v>80</v>
      </c>
      <c r="B91" s="3">
        <v>7189</v>
      </c>
      <c r="C91" s="3">
        <v>49</v>
      </c>
      <c r="D91" s="3">
        <v>4682</v>
      </c>
      <c r="E91" s="3">
        <v>2458</v>
      </c>
      <c r="F91" s="3">
        <v>2230563</v>
      </c>
      <c r="G91" s="3" t="s">
        <v>17</v>
      </c>
      <c r="H91" s="4">
        <v>43902</v>
      </c>
      <c r="I91" s="5">
        <f>IF(B91=0,0,C91/B91)</f>
        <v>6.815968841285297E-3</v>
      </c>
      <c r="J91" s="5">
        <f>IF(B91=0,0,D91/B91)</f>
        <v>0.65127277785505633</v>
      </c>
      <c r="K91" s="5">
        <f>IF(F91=0,0,B91/F91)</f>
        <v>3.2229531288737417E-3</v>
      </c>
      <c r="L91" s="3" t="str">
        <f>_xlfn.IFS(I91&gt;0.05,"High Risk",I91&gt;=0.02,"Moderate Risk",I91&lt;0.02,"Low Risk")</f>
        <v>Low Risk</v>
      </c>
    </row>
    <row r="92" spans="1:17" x14ac:dyDescent="0.3">
      <c r="A92" s="3" t="s">
        <v>89</v>
      </c>
      <c r="B92" s="3">
        <v>7055</v>
      </c>
      <c r="C92" s="3">
        <v>45</v>
      </c>
      <c r="D92" s="3">
        <v>6257</v>
      </c>
      <c r="E92" s="3">
        <v>753</v>
      </c>
      <c r="F92" s="3">
        <v>13164905</v>
      </c>
      <c r="G92" s="3" t="s">
        <v>17</v>
      </c>
      <c r="H92" s="4">
        <v>43903</v>
      </c>
      <c r="I92" s="5">
        <f>IF(B92=0,0,C92/B92)</f>
        <v>6.3784549964564135E-3</v>
      </c>
      <c r="J92" s="5">
        <f>IF(B92=0,0,D92/B92)</f>
        <v>0.88688873139617297</v>
      </c>
      <c r="K92" s="5">
        <f>IF(F92=0,0,B92/F92)</f>
        <v>5.3589448613567661E-4</v>
      </c>
      <c r="L92" s="3" t="str">
        <f>_xlfn.IFS(I92&gt;0.05,"High Risk",I92&gt;=0.02,"Moderate Risk",I92&lt;0.02,"Low Risk")</f>
        <v>Low Risk</v>
      </c>
    </row>
    <row r="93" spans="1:17" x14ac:dyDescent="0.3">
      <c r="A93" s="3" t="s">
        <v>120</v>
      </c>
      <c r="B93" s="3">
        <v>6321</v>
      </c>
      <c r="C93" s="3">
        <v>112</v>
      </c>
      <c r="D93" s="3">
        <v>4825</v>
      </c>
      <c r="E93" s="3">
        <v>1384</v>
      </c>
      <c r="F93" s="3">
        <v>626952</v>
      </c>
      <c r="G93" s="3" t="s">
        <v>15</v>
      </c>
      <c r="H93" s="4">
        <v>43890</v>
      </c>
      <c r="I93" s="5">
        <f>IF(B93=0,0,C93/B93)</f>
        <v>1.7718715393133997E-2</v>
      </c>
      <c r="J93" s="5">
        <f>IF(B93=0,0,D93/B93)</f>
        <v>0.763328587248853</v>
      </c>
      <c r="K93" s="5">
        <f>IF(F93=0,0,B93/F93)</f>
        <v>1.0082111549209509E-2</v>
      </c>
      <c r="L93" s="3" t="str">
        <f>_xlfn.IFS(I93&gt;0.05,"High Risk",I93&gt;=0.02,"Moderate Risk",I93&lt;0.02,"Low Risk")</f>
        <v>Low Risk</v>
      </c>
    </row>
    <row r="94" spans="1:17" x14ac:dyDescent="0.3">
      <c r="A94" s="3" t="s">
        <v>127</v>
      </c>
      <c r="B94" s="3">
        <v>6208</v>
      </c>
      <c r="C94" s="3">
        <v>156</v>
      </c>
      <c r="D94" s="3">
        <v>4653</v>
      </c>
      <c r="E94" s="3">
        <v>1399</v>
      </c>
      <c r="F94" s="3">
        <v>4660728</v>
      </c>
      <c r="G94" s="3" t="s">
        <v>17</v>
      </c>
      <c r="H94" s="4">
        <v>43903</v>
      </c>
      <c r="I94" s="5">
        <f>IF(B94=0,0,C94/B94)</f>
        <v>2.5128865979381444E-2</v>
      </c>
      <c r="J94" s="5">
        <f>IF(B94=0,0,D94/B94)</f>
        <v>0.74951675257731953</v>
      </c>
      <c r="K94" s="5">
        <f>IF(F94=0,0,B94/F94)</f>
        <v>1.3319807549378553E-3</v>
      </c>
      <c r="L94" s="3" t="str">
        <f>_xlfn.IFS(I94&gt;0.05,"High Risk",I94&gt;=0.02,"Moderate Risk",I94&lt;0.02,"Low Risk")</f>
        <v>Moderate Risk</v>
      </c>
    </row>
    <row r="95" spans="1:17" x14ac:dyDescent="0.3">
      <c r="A95" s="3" t="s">
        <v>66</v>
      </c>
      <c r="B95" s="3">
        <v>5059</v>
      </c>
      <c r="C95" s="3">
        <v>58</v>
      </c>
      <c r="D95" s="3">
        <v>4977</v>
      </c>
      <c r="E95" s="3">
        <v>24</v>
      </c>
      <c r="F95" s="3">
        <v>989387</v>
      </c>
      <c r="G95" s="3" t="s">
        <v>17</v>
      </c>
      <c r="H95" s="4">
        <v>43908</v>
      </c>
      <c r="I95" s="5">
        <f>IF(B95=0,0,C95/B95)</f>
        <v>1.1464716347104172E-2</v>
      </c>
      <c r="J95" s="5">
        <f>IF(B95=0,0,D95/B95)</f>
        <v>0.98379126309547338</v>
      </c>
      <c r="K95" s="5">
        <f>IF(F95=0,0,B95/F95)</f>
        <v>5.1132671037723357E-3</v>
      </c>
      <c r="L95" s="3" t="str">
        <f>_xlfn.IFS(I95&gt;0.05,"High Risk",I95&gt;=0.02,"Moderate Risk",I95&lt;0.02,"Low Risk")</f>
        <v>Low Risk</v>
      </c>
    </row>
    <row r="96" spans="1:17" x14ac:dyDescent="0.3">
      <c r="A96" s="3" t="s">
        <v>61</v>
      </c>
      <c r="B96" s="3">
        <v>4881</v>
      </c>
      <c r="C96" s="3">
        <v>139</v>
      </c>
      <c r="D96" s="3">
        <v>3936</v>
      </c>
      <c r="E96" s="3">
        <v>806</v>
      </c>
      <c r="F96" s="3">
        <v>4102577</v>
      </c>
      <c r="G96" s="3" t="s">
        <v>15</v>
      </c>
      <c r="H96" s="4">
        <v>43886</v>
      </c>
      <c r="I96" s="5">
        <f>IF(B96=0,0,C96/B96)</f>
        <v>2.8477770948576113E-2</v>
      </c>
      <c r="J96" s="5">
        <f>IF(B96=0,0,D96/B96)</f>
        <v>0.80639213275968036</v>
      </c>
      <c r="K96" s="5">
        <f>IF(F96=0,0,B96/F96)</f>
        <v>1.1897400097548444E-3</v>
      </c>
      <c r="L96" s="3" t="str">
        <f>_xlfn.IFS(I96&gt;0.05,"High Risk",I96&gt;=0.02,"Moderate Risk",I96&lt;0.02,"Low Risk")</f>
        <v>Moderate Risk</v>
      </c>
    </row>
    <row r="97" spans="1:12" x14ac:dyDescent="0.3">
      <c r="A97" s="3" t="s">
        <v>14</v>
      </c>
      <c r="B97" s="3">
        <v>4880</v>
      </c>
      <c r="C97" s="3">
        <v>144</v>
      </c>
      <c r="D97" s="3">
        <v>2745</v>
      </c>
      <c r="E97" s="3">
        <v>1991</v>
      </c>
      <c r="F97" s="3">
        <v>2877470</v>
      </c>
      <c r="G97" s="3" t="s">
        <v>15</v>
      </c>
      <c r="H97" s="4">
        <v>43899</v>
      </c>
      <c r="I97" s="5">
        <f>IF(B97=0,0,C97/B97)</f>
        <v>2.9508196721311476E-2</v>
      </c>
      <c r="J97" s="5">
        <f>IF(B97=0,0,D97/B97)</f>
        <v>0.5625</v>
      </c>
      <c r="K97" s="5">
        <f>IF(F97=0,0,B97/F97)</f>
        <v>1.6959342755962703E-3</v>
      </c>
      <c r="L97" s="3" t="str">
        <f>_xlfn.IFS(I97&gt;0.05,"High Risk",I97&gt;=0.02,"Moderate Risk",I97&lt;0.02,"Low Risk")</f>
        <v>Moderate Risk</v>
      </c>
    </row>
    <row r="98" spans="1:12" x14ac:dyDescent="0.3">
      <c r="A98" s="3" t="s">
        <v>51</v>
      </c>
      <c r="B98" s="3">
        <v>4599</v>
      </c>
      <c r="C98" s="3">
        <v>59</v>
      </c>
      <c r="D98" s="3">
        <v>1546</v>
      </c>
      <c r="E98" s="3">
        <v>2994</v>
      </c>
      <c r="F98" s="3">
        <v>4837752</v>
      </c>
      <c r="G98" s="3" t="s">
        <v>17</v>
      </c>
      <c r="H98" s="4">
        <v>43904</v>
      </c>
      <c r="I98" s="5">
        <f>IF(B98=0,0,C98/B98)</f>
        <v>1.2828875842574472E-2</v>
      </c>
      <c r="J98" s="5">
        <f>IF(B98=0,0,D98/B98)</f>
        <v>0.33616003479017176</v>
      </c>
      <c r="K98" s="5">
        <f>IF(F98=0,0,B98/F98)</f>
        <v>9.5064815228229974E-4</v>
      </c>
      <c r="L98" s="3" t="str">
        <f>_xlfn.IFS(I98&gt;0.05,"High Risk",I98&gt;=0.02,"Moderate Risk",I98&lt;0.02,"Low Risk")</f>
        <v>Low Risk</v>
      </c>
    </row>
    <row r="99" spans="1:12" x14ac:dyDescent="0.3">
      <c r="A99" s="3" t="s">
        <v>203</v>
      </c>
      <c r="B99" s="3">
        <v>4552</v>
      </c>
      <c r="C99" s="3">
        <v>140</v>
      </c>
      <c r="D99" s="3">
        <v>2815</v>
      </c>
      <c r="E99" s="3">
        <v>1597</v>
      </c>
      <c r="F99" s="3">
        <v>18430129</v>
      </c>
      <c r="G99" s="3" t="s">
        <v>17</v>
      </c>
      <c r="H99" s="4">
        <v>43908</v>
      </c>
      <c r="I99" s="5">
        <f>IF(B99=0,0,C99/B99)</f>
        <v>3.0755711775043937E-2</v>
      </c>
      <c r="J99" s="5">
        <f>IF(B99=0,0,D99/B99)</f>
        <v>0.61840949033391912</v>
      </c>
      <c r="K99" s="5">
        <f>IF(F99=0,0,B99/F99)</f>
        <v>2.4698687676033088E-4</v>
      </c>
      <c r="L99" s="3" t="str">
        <f>_xlfn.IFS(I99&gt;0.05,"High Risk",I99&gt;=0.02,"Moderate Risk",I99&lt;0.02,"Low Risk")</f>
        <v>Moderate Risk</v>
      </c>
    </row>
    <row r="100" spans="1:12" x14ac:dyDescent="0.3">
      <c r="A100" s="3" t="s">
        <v>149</v>
      </c>
      <c r="B100" s="3">
        <v>4548</v>
      </c>
      <c r="C100" s="3">
        <v>43</v>
      </c>
      <c r="D100" s="3">
        <v>2905</v>
      </c>
      <c r="E100" s="3">
        <v>1600</v>
      </c>
      <c r="F100" s="3">
        <v>7141091</v>
      </c>
      <c r="G100" s="3" t="s">
        <v>23</v>
      </c>
      <c r="H100" s="4">
        <v>43897</v>
      </c>
      <c r="I100" s="5">
        <f>IF(B100=0,0,C100/B100)</f>
        <v>9.4547053649956022E-3</v>
      </c>
      <c r="J100" s="5">
        <f>IF(B100=0,0,D100/B100)</f>
        <v>0.63874230430958667</v>
      </c>
      <c r="K100" s="5">
        <f>IF(F100=0,0,B100/F100)</f>
        <v>6.368774743243014E-4</v>
      </c>
      <c r="L100" s="3" t="str">
        <f>_xlfn.IFS(I100&gt;0.05,"High Risk",I100&gt;=0.02,"Moderate Risk",I100&lt;0.02,"Low Risk")</f>
        <v>Low Risk</v>
      </c>
    </row>
    <row r="101" spans="1:12" x14ac:dyDescent="0.3">
      <c r="A101" s="3" t="s">
        <v>95</v>
      </c>
      <c r="B101" s="3">
        <v>4448</v>
      </c>
      <c r="C101" s="3">
        <v>596</v>
      </c>
      <c r="D101" s="3">
        <v>3329</v>
      </c>
      <c r="E101" s="3">
        <v>523</v>
      </c>
      <c r="F101" s="3">
        <v>9657785</v>
      </c>
      <c r="G101" s="3" t="s">
        <v>15</v>
      </c>
      <c r="H101" s="4">
        <v>43894</v>
      </c>
      <c r="I101" s="5">
        <f>IF(B101=0,0,C101/B101)</f>
        <v>0.13399280575539568</v>
      </c>
      <c r="J101" s="5">
        <f>IF(B101=0,0,D101/B101)</f>
        <v>0.74842625899280579</v>
      </c>
      <c r="K101" s="5">
        <f>IF(F101=0,0,B101/F101)</f>
        <v>4.6056109138896753E-4</v>
      </c>
      <c r="L101" s="3" t="str">
        <f>_xlfn.IFS(I101&gt;0.05,"High Risk",I101&gt;=0.02,"Moderate Risk",I101&lt;0.02,"Low Risk")</f>
        <v>High Risk</v>
      </c>
    </row>
    <row r="102" spans="1:12" x14ac:dyDescent="0.3">
      <c r="A102" s="3" t="s">
        <v>85</v>
      </c>
      <c r="B102" s="3">
        <v>4227</v>
      </c>
      <c r="C102" s="3">
        <v>202</v>
      </c>
      <c r="D102" s="3">
        <v>1374</v>
      </c>
      <c r="E102" s="3">
        <v>2651</v>
      </c>
      <c r="F102" s="3">
        <v>10417673</v>
      </c>
      <c r="G102" s="3" t="s">
        <v>15</v>
      </c>
      <c r="H102" s="4">
        <v>43887</v>
      </c>
      <c r="I102" s="5">
        <f>IF(B102=0,0,C102/B102)</f>
        <v>4.7788029335225926E-2</v>
      </c>
      <c r="J102" s="5">
        <f>IF(B102=0,0,D102/B102)</f>
        <v>0.32505322924059615</v>
      </c>
      <c r="K102" s="5">
        <f>IF(F102=0,0,B102/F102)</f>
        <v>4.0575280103339776E-4</v>
      </c>
      <c r="L102" s="3" t="str">
        <f>_xlfn.IFS(I102&gt;0.05,"High Risk",I102&gt;=0.02,"Moderate Risk",I102&lt;0.02,"Low Risk")</f>
        <v>Moderate Risk</v>
      </c>
    </row>
    <row r="103" spans="1:12" x14ac:dyDescent="0.3">
      <c r="A103" s="3" t="s">
        <v>114</v>
      </c>
      <c r="B103" s="3">
        <v>3882</v>
      </c>
      <c r="C103" s="3">
        <v>51</v>
      </c>
      <c r="D103" s="3">
        <v>1709</v>
      </c>
      <c r="E103" s="3">
        <v>2122</v>
      </c>
      <c r="F103" s="3">
        <v>6822220</v>
      </c>
      <c r="G103" s="3" t="s">
        <v>13</v>
      </c>
      <c r="H103" s="4">
        <v>43882</v>
      </c>
      <c r="I103" s="5">
        <f>IF(B103=0,0,C103/B103)</f>
        <v>1.3137557959814529E-2</v>
      </c>
      <c r="J103" s="5">
        <f>IF(B103=0,0,D103/B103)</f>
        <v>0.44023699124162802</v>
      </c>
      <c r="K103" s="5">
        <f>IF(F103=0,0,B103/F103)</f>
        <v>5.6902298665243865E-4</v>
      </c>
      <c r="L103" s="3" t="str">
        <f>_xlfn.IFS(I103&gt;0.05,"High Risk",I103&gt;=0.02,"Moderate Risk",I103&lt;0.02,"Low Risk")</f>
        <v>Low Risk</v>
      </c>
    </row>
    <row r="104" spans="1:12" x14ac:dyDescent="0.3">
      <c r="A104" s="3" t="s">
        <v>122</v>
      </c>
      <c r="B104" s="3">
        <v>3664</v>
      </c>
      <c r="C104" s="3">
        <v>99</v>
      </c>
      <c r="D104" s="3">
        <v>1645</v>
      </c>
      <c r="E104" s="3">
        <v>1920</v>
      </c>
      <c r="F104" s="3">
        <v>19174839</v>
      </c>
      <c r="G104" s="3" t="s">
        <v>17</v>
      </c>
      <c r="H104" s="4">
        <v>43922</v>
      </c>
      <c r="I104" s="5">
        <f>IF(B104=0,0,C104/B104)</f>
        <v>2.7019650655021835E-2</v>
      </c>
      <c r="J104" s="5">
        <f>IF(B104=0,0,D104/B104)</f>
        <v>0.44896288209606988</v>
      </c>
      <c r="K104" s="5">
        <f>IF(F104=0,0,B104/F104)</f>
        <v>1.910837426066524E-4</v>
      </c>
      <c r="L104" s="3" t="str">
        <f>_xlfn.IFS(I104&gt;0.05,"High Risk",I104&gt;=0.02,"Moderate Risk",I104&lt;0.02,"Low Risk")</f>
        <v>Moderate Risk</v>
      </c>
    </row>
    <row r="105" spans="1:12" x14ac:dyDescent="0.3">
      <c r="A105" s="3" t="s">
        <v>140</v>
      </c>
      <c r="B105" s="3">
        <v>3439</v>
      </c>
      <c r="C105" s="3">
        <v>108</v>
      </c>
      <c r="D105" s="3">
        <v>2492</v>
      </c>
      <c r="E105" s="3">
        <v>839</v>
      </c>
      <c r="F105" s="3">
        <v>6632263</v>
      </c>
      <c r="G105" s="3" t="s">
        <v>21</v>
      </c>
      <c r="H105" s="4">
        <v>43908</v>
      </c>
      <c r="I105" s="5">
        <f>IF(B105=0,0,C105/B105)</f>
        <v>3.1404478045943589E-2</v>
      </c>
      <c r="J105" s="5">
        <f>IF(B105=0,0,D105/B105)</f>
        <v>0.72462925268973544</v>
      </c>
      <c r="K105" s="5">
        <f>IF(F105=0,0,B105/F105)</f>
        <v>5.1852587872344626E-4</v>
      </c>
      <c r="L105" s="3" t="str">
        <f>_xlfn.IFS(I105&gt;0.05,"High Risk",I105&gt;=0.02,"Moderate Risk",I105&lt;0.02,"Low Risk")</f>
        <v>Moderate Risk</v>
      </c>
    </row>
    <row r="106" spans="1:12" x14ac:dyDescent="0.3">
      <c r="A106" s="3" t="s">
        <v>124</v>
      </c>
      <c r="B106" s="3">
        <v>3369</v>
      </c>
      <c r="C106" s="3">
        <v>15</v>
      </c>
      <c r="D106" s="3">
        <v>2547</v>
      </c>
      <c r="E106" s="3">
        <v>807</v>
      </c>
      <c r="F106" s="3">
        <v>541448</v>
      </c>
      <c r="G106" s="3" t="s">
        <v>13</v>
      </c>
      <c r="H106" s="4">
        <v>43897</v>
      </c>
      <c r="I106" s="5">
        <f>IF(B106=0,0,C106/B106)</f>
        <v>4.4523597506678537E-3</v>
      </c>
      <c r="J106" s="5">
        <f>IF(B106=0,0,D106/B106)</f>
        <v>0.75601068566340157</v>
      </c>
      <c r="K106" s="5">
        <f>IF(F106=0,0,B106/F106)</f>
        <v>6.2222041636500643E-3</v>
      </c>
      <c r="L106" s="3" t="str">
        <f>_xlfn.IFS(I106&gt;0.05,"High Risk",I106&gt;=0.02,"Moderate Risk",I106&lt;0.02,"Low Risk")</f>
        <v>Low Risk</v>
      </c>
    </row>
    <row r="107" spans="1:12" x14ac:dyDescent="0.3">
      <c r="A107" s="3" t="s">
        <v>185</v>
      </c>
      <c r="B107" s="3">
        <v>3297</v>
      </c>
      <c r="C107" s="3">
        <v>58</v>
      </c>
      <c r="D107" s="3">
        <v>3111</v>
      </c>
      <c r="E107" s="3">
        <v>128</v>
      </c>
      <c r="F107" s="3">
        <v>69817894</v>
      </c>
      <c r="G107" s="3" t="s">
        <v>13</v>
      </c>
      <c r="H107" s="4">
        <v>43843</v>
      </c>
      <c r="I107" s="5">
        <f>IF(B107=0,0,C107/B107)</f>
        <v>1.7591750075826508E-2</v>
      </c>
      <c r="J107" s="5">
        <f>IF(B107=0,0,D107/B107)</f>
        <v>0.94358507734303909</v>
      </c>
      <c r="K107" s="5">
        <f>IF(F107=0,0,B107/F107)</f>
        <v>4.7222850921283877E-5</v>
      </c>
      <c r="L107" s="3" t="str">
        <f>_xlfn.IFS(I107&gt;0.05,"High Risk",I107&gt;=0.02,"Moderate Risk",I107&lt;0.02,"Low Risk")</f>
        <v>Low Risk</v>
      </c>
    </row>
    <row r="108" spans="1:12" x14ac:dyDescent="0.3">
      <c r="A108" s="3" t="s">
        <v>57</v>
      </c>
      <c r="B108" s="3">
        <v>3200</v>
      </c>
      <c r="C108" s="3">
        <v>54</v>
      </c>
      <c r="D108" s="3">
        <v>829</v>
      </c>
      <c r="E108" s="3">
        <v>2317</v>
      </c>
      <c r="F108" s="3">
        <v>5530506</v>
      </c>
      <c r="G108" s="3" t="s">
        <v>17</v>
      </c>
      <c r="H108" s="4">
        <v>43904</v>
      </c>
      <c r="I108" s="5">
        <f>IF(B108=0,0,C108/B108)</f>
        <v>1.6875000000000001E-2</v>
      </c>
      <c r="J108" s="5">
        <f>IF(B108=0,0,D108/B108)</f>
        <v>0.25906249999999997</v>
      </c>
      <c r="K108" s="5">
        <f>IF(F108=0,0,B108/F108)</f>
        <v>5.7860890124701071E-4</v>
      </c>
      <c r="L108" s="3" t="str">
        <f>_xlfn.IFS(I108&gt;0.05,"High Risk",I108&gt;=0.02,"Moderate Risk",I108&lt;0.02,"Low Risk")</f>
        <v>Low Risk</v>
      </c>
    </row>
    <row r="109" spans="1:12" x14ac:dyDescent="0.3">
      <c r="A109" s="3" t="s">
        <v>171</v>
      </c>
      <c r="B109" s="3">
        <v>3196</v>
      </c>
      <c r="C109" s="3">
        <v>93</v>
      </c>
      <c r="D109" s="3">
        <v>1543</v>
      </c>
      <c r="E109" s="3">
        <v>1560</v>
      </c>
      <c r="F109" s="3">
        <v>15933012</v>
      </c>
      <c r="G109" s="3" t="s">
        <v>17</v>
      </c>
      <c r="H109" s="4">
        <v>43906</v>
      </c>
      <c r="I109" s="5">
        <f>IF(B109=0,0,C109/B109)</f>
        <v>2.9098873591989989E-2</v>
      </c>
      <c r="J109" s="5">
        <f>IF(B109=0,0,D109/B109)</f>
        <v>0.48279098873591991</v>
      </c>
      <c r="K109" s="5">
        <f>IF(F109=0,0,B109/F109)</f>
        <v>2.0058981942648382E-4</v>
      </c>
      <c r="L109" s="3" t="str">
        <f>_xlfn.IFS(I109&gt;0.05,"High Risk",I109&gt;=0.02,"Moderate Risk",I109&lt;0.02,"Low Risk")</f>
        <v>Moderate Risk</v>
      </c>
    </row>
    <row r="110" spans="1:12" x14ac:dyDescent="0.3">
      <c r="A110" s="3" t="s">
        <v>72</v>
      </c>
      <c r="B110" s="3">
        <v>3071</v>
      </c>
      <c r="C110" s="3">
        <v>51</v>
      </c>
      <c r="D110" s="3">
        <v>842</v>
      </c>
      <c r="E110" s="3">
        <v>2178</v>
      </c>
      <c r="F110" s="3">
        <v>1407001</v>
      </c>
      <c r="G110" s="3" t="s">
        <v>17</v>
      </c>
      <c r="H110" s="4">
        <v>43904</v>
      </c>
      <c r="I110" s="5">
        <f>IF(B110=0,0,C110/B110)</f>
        <v>1.6606968414197329E-2</v>
      </c>
      <c r="J110" s="5">
        <f>IF(B110=0,0,D110/B110)</f>
        <v>0.27417779225008143</v>
      </c>
      <c r="K110" s="5">
        <f>IF(F110=0,0,B110/F110)</f>
        <v>2.1826565865980196E-3</v>
      </c>
      <c r="L110" s="3" t="str">
        <f>_xlfn.IFS(I110&gt;0.05,"High Risk",I110&gt;=0.02,"Moderate Risk",I110&lt;0.02,"Low Risk")</f>
        <v>Low Risk</v>
      </c>
    </row>
    <row r="111" spans="1:12" x14ac:dyDescent="0.3">
      <c r="A111" s="3" t="s">
        <v>133</v>
      </c>
      <c r="B111" s="3">
        <v>2893</v>
      </c>
      <c r="C111" s="3">
        <v>45</v>
      </c>
      <c r="D111" s="3">
        <v>809</v>
      </c>
      <c r="E111" s="3">
        <v>2039</v>
      </c>
      <c r="F111" s="3">
        <v>628074</v>
      </c>
      <c r="G111" s="3" t="s">
        <v>15</v>
      </c>
      <c r="H111" s="4">
        <v>43907</v>
      </c>
      <c r="I111" s="5">
        <f>IF(B111=0,0,C111/B111)</f>
        <v>1.5554787417905289E-2</v>
      </c>
      <c r="J111" s="5">
        <f>IF(B111=0,0,D111/B111)</f>
        <v>0.27964051157967507</v>
      </c>
      <c r="K111" s="5">
        <f>IF(F111=0,0,B111/F111)</f>
        <v>4.6061451357642573E-3</v>
      </c>
      <c r="L111" s="3" t="str">
        <f>_xlfn.IFS(I111&gt;0.05,"High Risk",I111&gt;=0.02,"Moderate Risk",I111&lt;0.02,"Low Risk")</f>
        <v>Low Risk</v>
      </c>
    </row>
    <row r="112" spans="1:12" x14ac:dyDescent="0.3">
      <c r="A112" s="3" t="s">
        <v>117</v>
      </c>
      <c r="B112" s="3">
        <v>2827</v>
      </c>
      <c r="C112" s="3">
        <v>64</v>
      </c>
      <c r="D112" s="3">
        <v>577</v>
      </c>
      <c r="E112" s="3">
        <v>2186</v>
      </c>
      <c r="F112" s="3">
        <v>6880353</v>
      </c>
      <c r="G112" s="3" t="s">
        <v>17</v>
      </c>
      <c r="H112" s="4">
        <v>43914</v>
      </c>
      <c r="I112" s="5">
        <f>IF(B112=0,0,C112/B112)</f>
        <v>2.2638839759462327E-2</v>
      </c>
      <c r="J112" s="5">
        <f>IF(B112=0,0,D112/B112)</f>
        <v>0.20410328970640254</v>
      </c>
      <c r="K112" s="5">
        <f>IF(F112=0,0,B112/F112)</f>
        <v>4.1088008129815432E-4</v>
      </c>
      <c r="L112" s="3" t="str">
        <f>_xlfn.IFS(I112&gt;0.05,"High Risk",I112&gt;=0.02,"Moderate Risk",I112&lt;0.02,"Low Risk")</f>
        <v>Moderate Risk</v>
      </c>
    </row>
    <row r="113" spans="1:12" x14ac:dyDescent="0.3">
      <c r="A113" s="3" t="s">
        <v>176</v>
      </c>
      <c r="B113" s="3">
        <v>2805</v>
      </c>
      <c r="C113" s="3">
        <v>11</v>
      </c>
      <c r="D113" s="3">
        <v>2121</v>
      </c>
      <c r="E113" s="3">
        <v>673</v>
      </c>
      <c r="F113" s="3">
        <v>21422362</v>
      </c>
      <c r="G113" s="3" t="s">
        <v>13</v>
      </c>
      <c r="H113" s="4">
        <v>43857</v>
      </c>
      <c r="I113" s="5">
        <f>IF(B113=0,0,C113/B113)</f>
        <v>3.9215686274509803E-3</v>
      </c>
      <c r="J113" s="5">
        <f>IF(B113=0,0,D113/B113)</f>
        <v>0.75614973262032081</v>
      </c>
      <c r="K113" s="5">
        <f>IF(F113=0,0,B113/F113)</f>
        <v>1.3093794232400704E-4</v>
      </c>
      <c r="L113" s="3" t="str">
        <f>_xlfn.IFS(I113&gt;0.05,"High Risk",I113&gt;=0.02,"Moderate Risk",I113&lt;0.02,"Low Risk")</f>
        <v>Low Risk</v>
      </c>
    </row>
    <row r="114" spans="1:12" x14ac:dyDescent="0.3">
      <c r="A114" s="3" t="s">
        <v>204</v>
      </c>
      <c r="B114" s="3">
        <v>2704</v>
      </c>
      <c r="C114" s="3">
        <v>36</v>
      </c>
      <c r="D114" s="3">
        <v>542</v>
      </c>
      <c r="E114" s="3">
        <v>2126</v>
      </c>
      <c r="F114" s="3">
        <v>14883803</v>
      </c>
      <c r="G114" s="3" t="s">
        <v>17</v>
      </c>
      <c r="H114" s="4">
        <v>43911</v>
      </c>
      <c r="I114" s="5">
        <f>IF(B114=0,0,C114/B114)</f>
        <v>1.3313609467455622E-2</v>
      </c>
      <c r="J114" s="5">
        <f>IF(B114=0,0,D114/B114)</f>
        <v>0.20044378698224852</v>
      </c>
      <c r="K114" s="5">
        <f>IF(F114=0,0,B114/F114)</f>
        <v>1.8167399823821909E-4</v>
      </c>
      <c r="L114" s="3" t="str">
        <f>_xlfn.IFS(I114&gt;0.05,"High Risk",I114&gt;=0.02,"Moderate Risk",I114&lt;0.02,"Low Risk")</f>
        <v>Low Risk</v>
      </c>
    </row>
    <row r="115" spans="1:12" x14ac:dyDescent="0.3">
      <c r="A115" s="3" t="s">
        <v>62</v>
      </c>
      <c r="B115" s="3">
        <v>2532</v>
      </c>
      <c r="C115" s="3">
        <v>87</v>
      </c>
      <c r="D115" s="3">
        <v>2351</v>
      </c>
      <c r="E115" s="3">
        <v>94</v>
      </c>
      <c r="F115" s="3">
        <v>11325899</v>
      </c>
      <c r="G115" s="3" t="s">
        <v>21</v>
      </c>
      <c r="H115" s="4">
        <v>43901</v>
      </c>
      <c r="I115" s="5">
        <f>IF(B115=0,0,C115/B115)</f>
        <v>3.4360189573459717E-2</v>
      </c>
      <c r="J115" s="5">
        <f>IF(B115=0,0,D115/B115)</f>
        <v>0.92851500789889418</v>
      </c>
      <c r="K115" s="5">
        <f>IF(F115=0,0,B115/F115)</f>
        <v>2.2355841244920161E-4</v>
      </c>
      <c r="L115" s="3" t="str">
        <f>_xlfn.IFS(I115&gt;0.05,"High Risk",I115&gt;=0.02,"Moderate Risk",I115&lt;0.02,"Low Risk")</f>
        <v>Moderate Risk</v>
      </c>
    </row>
    <row r="116" spans="1:12" x14ac:dyDescent="0.3">
      <c r="A116" s="3" t="s">
        <v>125</v>
      </c>
      <c r="B116" s="3">
        <v>2513</v>
      </c>
      <c r="C116" s="3">
        <v>124</v>
      </c>
      <c r="D116" s="3">
        <v>1913</v>
      </c>
      <c r="E116" s="3">
        <v>476</v>
      </c>
      <c r="F116" s="3">
        <v>20302901</v>
      </c>
      <c r="G116" s="3" t="s">
        <v>17</v>
      </c>
      <c r="H116" s="4">
        <v>43915</v>
      </c>
      <c r="I116" s="5">
        <f>IF(B116=0,0,C116/B116)</f>
        <v>4.9343414245921209E-2</v>
      </c>
      <c r="J116" s="5">
        <f>IF(B116=0,0,D116/B116)</f>
        <v>0.76124154397134902</v>
      </c>
      <c r="K116" s="5">
        <f>IF(F116=0,0,B116/F116)</f>
        <v>1.2377541514880066E-4</v>
      </c>
      <c r="L116" s="3" t="str">
        <f>_xlfn.IFS(I116&gt;0.05,"High Risk",I116&gt;=0.02,"Moderate Risk",I116&lt;0.02,"Low Risk")</f>
        <v>Moderate Risk</v>
      </c>
    </row>
    <row r="117" spans="1:12" x14ac:dyDescent="0.3">
      <c r="A117" s="3" t="s">
        <v>47</v>
      </c>
      <c r="B117" s="3">
        <v>2328</v>
      </c>
      <c r="C117" s="3">
        <v>22</v>
      </c>
      <c r="D117" s="3">
        <v>1550</v>
      </c>
      <c r="E117" s="3">
        <v>756</v>
      </c>
      <c r="F117" s="3">
        <v>556581</v>
      </c>
      <c r="G117" s="3" t="s">
        <v>17</v>
      </c>
      <c r="H117" s="4">
        <v>43910</v>
      </c>
      <c r="I117" s="5">
        <f>IF(B117=0,0,C117/B117)</f>
        <v>9.4501718213058413E-3</v>
      </c>
      <c r="J117" s="5">
        <f>IF(B117=0,0,D117/B117)</f>
        <v>0.66580756013745701</v>
      </c>
      <c r="K117" s="5">
        <f>IF(F117=0,0,B117/F117)</f>
        <v>4.1826796099759065E-3</v>
      </c>
      <c r="L117" s="3" t="str">
        <f>_xlfn.IFS(I117&gt;0.05,"High Risk",I117&gt;=0.02,"Moderate Risk",I117&lt;0.02,"Low Risk")</f>
        <v>Low Risk</v>
      </c>
    </row>
    <row r="118" spans="1:12" x14ac:dyDescent="0.3">
      <c r="A118" s="3" t="s">
        <v>75</v>
      </c>
      <c r="B118" s="3">
        <v>2316</v>
      </c>
      <c r="C118" s="3">
        <v>34</v>
      </c>
      <c r="D118" s="3">
        <v>1025</v>
      </c>
      <c r="E118" s="3">
        <v>1257</v>
      </c>
      <c r="F118" s="3">
        <v>1161348</v>
      </c>
      <c r="G118" s="3" t="s">
        <v>17</v>
      </c>
      <c r="H118" s="4">
        <v>43904</v>
      </c>
      <c r="I118" s="5">
        <f>IF(B118=0,0,C118/B118)</f>
        <v>1.468048359240069E-2</v>
      </c>
      <c r="J118" s="5">
        <f>IF(B118=0,0,D118/B118)</f>
        <v>0.442573402417962</v>
      </c>
      <c r="K118" s="5">
        <f>IF(F118=0,0,B118/F118)</f>
        <v>1.9942342863637774E-3</v>
      </c>
      <c r="L118" s="3" t="str">
        <f>_xlfn.IFS(I118&gt;0.05,"High Risk",I118&gt;=0.02,"Moderate Risk",I118&lt;0.02,"Low Risk")</f>
        <v>Low Risk</v>
      </c>
    </row>
    <row r="119" spans="1:12" x14ac:dyDescent="0.3">
      <c r="A119" s="3" t="s">
        <v>174</v>
      </c>
      <c r="B119" s="3">
        <v>2305</v>
      </c>
      <c r="C119" s="3">
        <v>46</v>
      </c>
      <c r="D119" s="3">
        <v>1175</v>
      </c>
      <c r="E119" s="3">
        <v>1084</v>
      </c>
      <c r="F119" s="3">
        <v>11206572</v>
      </c>
      <c r="G119" s="3" t="s">
        <v>17</v>
      </c>
      <c r="H119" s="4">
        <v>43926</v>
      </c>
      <c r="I119" s="5">
        <f>IF(B119=0,0,C119/B119)</f>
        <v>1.9956616052060738E-2</v>
      </c>
      <c r="J119" s="5">
        <f>IF(B119=0,0,D119/B119)</f>
        <v>0.50976138828633411</v>
      </c>
      <c r="K119" s="5">
        <f>IF(F119=0,0,B119/F119)</f>
        <v>2.0568287965311784E-4</v>
      </c>
      <c r="L119" s="3" t="str">
        <f>_xlfn.IFS(I119&gt;0.05,"High Risk",I119&gt;=0.02,"Moderate Risk",I119&lt;0.02,"Low Risk")</f>
        <v>Low Risk</v>
      </c>
    </row>
    <row r="120" spans="1:12" x14ac:dyDescent="0.3">
      <c r="A120" s="3" t="s">
        <v>169</v>
      </c>
      <c r="B120" s="3">
        <v>2181</v>
      </c>
      <c r="C120" s="3">
        <v>28</v>
      </c>
      <c r="D120" s="3">
        <v>1616</v>
      </c>
      <c r="E120" s="3">
        <v>537</v>
      </c>
      <c r="F120" s="3">
        <v>5459915</v>
      </c>
      <c r="G120" s="3" t="s">
        <v>15</v>
      </c>
      <c r="H120" s="4">
        <v>43896</v>
      </c>
      <c r="I120" s="5">
        <f>IF(B120=0,0,C120/B120)</f>
        <v>1.2838147638697846E-2</v>
      </c>
      <c r="J120" s="5">
        <f>IF(B120=0,0,D120/B120)</f>
        <v>0.74094452086198992</v>
      </c>
      <c r="K120" s="5">
        <f>IF(F120=0,0,B120/F120)</f>
        <v>3.994567680998697E-4</v>
      </c>
      <c r="L120" s="3" t="str">
        <f>_xlfn.IFS(I120&gt;0.05,"High Risk",I120&gt;=0.02,"Moderate Risk",I120&lt;0.02,"Low Risk")</f>
        <v>Low Risk</v>
      </c>
    </row>
    <row r="121" spans="1:12" x14ac:dyDescent="0.3">
      <c r="A121" s="3" t="s">
        <v>170</v>
      </c>
      <c r="B121" s="3">
        <v>2087</v>
      </c>
      <c r="C121" s="3">
        <v>116</v>
      </c>
      <c r="D121" s="3">
        <v>1733</v>
      </c>
      <c r="E121" s="3">
        <v>238</v>
      </c>
      <c r="F121" s="3">
        <v>2078968</v>
      </c>
      <c r="G121" s="3" t="s">
        <v>15</v>
      </c>
      <c r="H121" s="4">
        <v>43894</v>
      </c>
      <c r="I121" s="5">
        <f>IF(B121=0,0,C121/B121)</f>
        <v>5.558217537134643E-2</v>
      </c>
      <c r="J121" s="5">
        <f>IF(B121=0,0,D121/B121)</f>
        <v>0.83037853378054627</v>
      </c>
      <c r="K121" s="5">
        <f>IF(F121=0,0,B121/F121)</f>
        <v>1.0038634553297598E-3</v>
      </c>
      <c r="L121" s="3" t="str">
        <f>_xlfn.IFS(I121&gt;0.05,"High Risk",I121&gt;=0.02,"Moderate Risk",I121&lt;0.02,"Low Risk")</f>
        <v>High Risk</v>
      </c>
    </row>
    <row r="122" spans="1:12" x14ac:dyDescent="0.3">
      <c r="A122" s="3" t="s">
        <v>74</v>
      </c>
      <c r="B122" s="3">
        <v>2034</v>
      </c>
      <c r="C122" s="3">
        <v>69</v>
      </c>
      <c r="D122" s="3">
        <v>1923</v>
      </c>
      <c r="E122" s="3">
        <v>42</v>
      </c>
      <c r="F122" s="3">
        <v>1326627</v>
      </c>
      <c r="G122" s="3" t="s">
        <v>15</v>
      </c>
      <c r="H122" s="4">
        <v>43888</v>
      </c>
      <c r="I122" s="5">
        <f>IF(B122=0,0,C122/B122)</f>
        <v>3.3923303834808259E-2</v>
      </c>
      <c r="J122" s="5">
        <f>IF(B122=0,0,D122/B122)</f>
        <v>0.94542772861356927</v>
      </c>
      <c r="K122" s="5">
        <f>IF(F122=0,0,B122/F122)</f>
        <v>1.5332116714042456E-3</v>
      </c>
      <c r="L122" s="3" t="str">
        <f>_xlfn.IFS(I122&gt;0.05,"High Risk",I122&gt;=0.02,"Moderate Risk",I122&lt;0.02,"Low Risk")</f>
        <v>Moderate Risk</v>
      </c>
    </row>
    <row r="123" spans="1:12" x14ac:dyDescent="0.3">
      <c r="A123" s="3" t="s">
        <v>119</v>
      </c>
      <c r="B123" s="3">
        <v>2019</v>
      </c>
      <c r="C123" s="3">
        <v>80</v>
      </c>
      <c r="D123" s="3">
        <v>1620</v>
      </c>
      <c r="E123" s="3">
        <v>319</v>
      </c>
      <c r="F123" s="3">
        <v>2718121</v>
      </c>
      <c r="G123" s="3" t="s">
        <v>15</v>
      </c>
      <c r="H123" s="4">
        <v>43889</v>
      </c>
      <c r="I123" s="5">
        <f>IF(B123=0,0,C123/B123)</f>
        <v>3.9623576027736501E-2</v>
      </c>
      <c r="J123" s="5">
        <f>IF(B123=0,0,D123/B123)</f>
        <v>0.80237741456166423</v>
      </c>
      <c r="K123" s="5">
        <f>IF(F123=0,0,B123/F123)</f>
        <v>7.4279253940497862E-4</v>
      </c>
      <c r="L123" s="3" t="str">
        <f>_xlfn.IFS(I123&gt;0.05,"High Risk",I123&gt;=0.02,"Moderate Risk",I123&lt;0.02,"Low Risk")</f>
        <v>Moderate Risk</v>
      </c>
    </row>
    <row r="124" spans="1:12" x14ac:dyDescent="0.3">
      <c r="A124" s="3" t="s">
        <v>90</v>
      </c>
      <c r="B124" s="3">
        <v>1954</v>
      </c>
      <c r="C124" s="3">
        <v>26</v>
      </c>
      <c r="D124" s="3">
        <v>803</v>
      </c>
      <c r="E124" s="3">
        <v>1125</v>
      </c>
      <c r="F124" s="3">
        <v>1972277</v>
      </c>
      <c r="G124" s="3" t="s">
        <v>17</v>
      </c>
      <c r="H124" s="4">
        <v>43915</v>
      </c>
      <c r="I124" s="5">
        <f>IF(B124=0,0,C124/B124)</f>
        <v>1.3306038894575231E-2</v>
      </c>
      <c r="J124" s="5">
        <f>IF(B124=0,0,D124/B124)</f>
        <v>0.41095189355168882</v>
      </c>
      <c r="K124" s="5">
        <f>IF(F124=0,0,B124/F124)</f>
        <v>9.907330461187754E-4</v>
      </c>
      <c r="L124" s="3" t="str">
        <f>_xlfn.IFS(I124&gt;0.05,"High Risk",I124&gt;=0.02,"Moderate Risk",I124&lt;0.02,"Low Risk")</f>
        <v>Low Risk</v>
      </c>
    </row>
    <row r="125" spans="1:12" x14ac:dyDescent="0.3">
      <c r="A125" s="3" t="s">
        <v>157</v>
      </c>
      <c r="B125" s="3">
        <v>1879</v>
      </c>
      <c r="C125" s="3">
        <v>5</v>
      </c>
      <c r="D125" s="3">
        <v>975</v>
      </c>
      <c r="E125" s="3">
        <v>899</v>
      </c>
      <c r="F125" s="3">
        <v>12981546</v>
      </c>
      <c r="G125" s="3" t="s">
        <v>17</v>
      </c>
      <c r="H125" s="4">
        <v>43904</v>
      </c>
      <c r="I125" s="5">
        <f>IF(B125=0,0,C125/B125)</f>
        <v>2.6609898882384245E-3</v>
      </c>
      <c r="J125" s="5">
        <f>IF(B125=0,0,D125/B125)</f>
        <v>0.51889302820649286</v>
      </c>
      <c r="K125" s="5">
        <f>IF(F125=0,0,B125/F125)</f>
        <v>1.4474393111575461E-4</v>
      </c>
      <c r="L125" s="3" t="str">
        <f>_xlfn.IFS(I125&gt;0.05,"High Risk",I125&gt;=0.02,"Moderate Risk",I125&lt;0.02,"Low Risk")</f>
        <v>Low Risk</v>
      </c>
    </row>
    <row r="126" spans="1:12" x14ac:dyDescent="0.3">
      <c r="A126" s="3" t="s">
        <v>96</v>
      </c>
      <c r="B126" s="3">
        <v>1854</v>
      </c>
      <c r="C126" s="3">
        <v>10</v>
      </c>
      <c r="D126" s="3">
        <v>1823</v>
      </c>
      <c r="E126" s="3">
        <v>21</v>
      </c>
      <c r="F126" s="3">
        <v>341465</v>
      </c>
      <c r="G126" s="3" t="s">
        <v>15</v>
      </c>
      <c r="H126" s="4">
        <v>43889</v>
      </c>
      <c r="I126" s="5">
        <f>IF(B126=0,0,C126/B126)</f>
        <v>5.3937432578209281E-3</v>
      </c>
      <c r="J126" s="5">
        <f>IF(B126=0,0,D126/B126)</f>
        <v>0.98327939590075508</v>
      </c>
      <c r="K126" s="5">
        <f>IF(F126=0,0,B126/F126)</f>
        <v>5.4295462199639788E-3</v>
      </c>
      <c r="L126" s="3" t="str">
        <f>_xlfn.IFS(I126&gt;0.05,"High Risk",I126&gt;=0.02,"Moderate Risk",I126&lt;0.02,"Low Risk")</f>
        <v>Low Risk</v>
      </c>
    </row>
    <row r="127" spans="1:12" x14ac:dyDescent="0.3">
      <c r="A127" s="3" t="s">
        <v>136</v>
      </c>
      <c r="B127" s="3">
        <v>1843</v>
      </c>
      <c r="C127" s="3">
        <v>8</v>
      </c>
      <c r="D127" s="3">
        <v>101</v>
      </c>
      <c r="E127" s="3">
        <v>1734</v>
      </c>
      <c r="F127" s="3">
        <v>2545264</v>
      </c>
      <c r="G127" s="3" t="s">
        <v>17</v>
      </c>
      <c r="H127" s="4">
        <v>43904</v>
      </c>
      <c r="I127" s="5">
        <f>IF(B127=0,0,C127/B127)</f>
        <v>4.3407487791644059E-3</v>
      </c>
      <c r="J127" s="5">
        <f>IF(B127=0,0,D127/B127)</f>
        <v>5.4801953336950621E-2</v>
      </c>
      <c r="K127" s="5">
        <f>IF(F127=0,0,B127/F127)</f>
        <v>7.2408991758811663E-4</v>
      </c>
      <c r="L127" s="3" t="str">
        <f>_xlfn.IFS(I127&gt;0.05,"High Risk",I127&gt;=0.02,"Moderate Risk",I127&lt;0.02,"Low Risk")</f>
        <v>Low Risk</v>
      </c>
    </row>
    <row r="128" spans="1:12" x14ac:dyDescent="0.3">
      <c r="A128" s="3" t="s">
        <v>167</v>
      </c>
      <c r="B128" s="3">
        <v>1783</v>
      </c>
      <c r="C128" s="3">
        <v>66</v>
      </c>
      <c r="D128" s="3">
        <v>1317</v>
      </c>
      <c r="E128" s="3">
        <v>400</v>
      </c>
      <c r="F128" s="3">
        <v>7992169</v>
      </c>
      <c r="G128" s="3" t="s">
        <v>17</v>
      </c>
      <c r="H128" s="4">
        <v>43921</v>
      </c>
      <c r="I128" s="5">
        <f>IF(B128=0,0,C128/B128)</f>
        <v>3.7016264722378012E-2</v>
      </c>
      <c r="J128" s="5">
        <f>IF(B128=0,0,D128/B128)</f>
        <v>0.73864273696017946</v>
      </c>
      <c r="K128" s="5">
        <f>IF(F128=0,0,B128/F128)</f>
        <v>2.230933805328691E-4</v>
      </c>
      <c r="L128" s="3" t="str">
        <f>_xlfn.IFS(I128&gt;0.05,"High Risk",I128&gt;=0.02,"Moderate Risk",I128&lt;0.02,"Low Risk")</f>
        <v>Moderate Risk</v>
      </c>
    </row>
    <row r="129" spans="1:12" x14ac:dyDescent="0.3">
      <c r="A129" s="3" t="s">
        <v>36</v>
      </c>
      <c r="B129" s="3">
        <v>1770</v>
      </c>
      <c r="C129" s="3">
        <v>35</v>
      </c>
      <c r="D129" s="3">
        <v>1036</v>
      </c>
      <c r="E129" s="3">
        <v>699</v>
      </c>
      <c r="F129" s="3">
        <v>12151976</v>
      </c>
      <c r="G129" s="3" t="s">
        <v>17</v>
      </c>
      <c r="H129" s="4">
        <v>43906</v>
      </c>
      <c r="I129" s="5">
        <f>IF(B129=0,0,C129/B129)</f>
        <v>1.977401129943503E-2</v>
      </c>
      <c r="J129" s="5">
        <f>IF(B129=0,0,D129/B129)</f>
        <v>0.58531073446327686</v>
      </c>
      <c r="K129" s="5">
        <f>IF(F129=0,0,B129/F129)</f>
        <v>1.4565532387489903E-4</v>
      </c>
      <c r="L129" s="3" t="str">
        <f>_xlfn.IFS(I129&gt;0.05,"High Risk",I129&gt;=0.02,"Moderate Risk",I129&lt;0.02,"Low Risk")</f>
        <v>Low Risk</v>
      </c>
    </row>
    <row r="130" spans="1:12" x14ac:dyDescent="0.3">
      <c r="A130" s="3" t="s">
        <v>135</v>
      </c>
      <c r="B130" s="3">
        <v>1701</v>
      </c>
      <c r="C130" s="3">
        <v>11</v>
      </c>
      <c r="D130" s="3">
        <v>0</v>
      </c>
      <c r="E130" s="3">
        <v>1690</v>
      </c>
      <c r="F130" s="3">
        <v>31333962</v>
      </c>
      <c r="G130" s="3" t="s">
        <v>17</v>
      </c>
      <c r="H130" s="4">
        <v>43912</v>
      </c>
      <c r="I130" s="5">
        <f>IF(B130=0,0,C130/B130)</f>
        <v>6.4667842445620223E-3</v>
      </c>
      <c r="J130" s="5">
        <f>IF(B130=0,0,D130/B130)</f>
        <v>0</v>
      </c>
      <c r="K130" s="5">
        <f>IF(F130=0,0,B130/F130)</f>
        <v>5.4286144854583022E-5</v>
      </c>
      <c r="L130" s="3" t="str">
        <f>_xlfn.IFS(I130&gt;0.05,"High Risk",I130&gt;=0.02,"Moderate Risk",I130&lt;0.02,"Low Risk")</f>
        <v>Low Risk</v>
      </c>
    </row>
    <row r="131" spans="1:12" x14ac:dyDescent="0.3">
      <c r="A131" s="3" t="s">
        <v>202</v>
      </c>
      <c r="B131" s="3">
        <v>1691</v>
      </c>
      <c r="C131" s="3">
        <v>483</v>
      </c>
      <c r="D131" s="3">
        <v>833</v>
      </c>
      <c r="E131" s="3">
        <v>375</v>
      </c>
      <c r="F131" s="3">
        <v>29886897</v>
      </c>
      <c r="G131" s="3" t="s">
        <v>13</v>
      </c>
      <c r="H131" s="4">
        <v>43931</v>
      </c>
      <c r="I131" s="5">
        <f>IF(B131=0,0,C131/B131)</f>
        <v>0.28562980484920164</v>
      </c>
      <c r="J131" s="5">
        <f>IF(B131=0,0,D131/B131)</f>
        <v>0.49260792430514488</v>
      </c>
      <c r="K131" s="5">
        <f>IF(F131=0,0,B131/F131)</f>
        <v>5.6579978844909859E-5</v>
      </c>
      <c r="L131" s="3" t="str">
        <f>_xlfn.IFS(I131&gt;0.05,"High Risk",I131&gt;=0.02,"Moderate Risk",I131&lt;0.02,"Low Risk")</f>
        <v>High Risk</v>
      </c>
    </row>
    <row r="132" spans="1:12" x14ac:dyDescent="0.3">
      <c r="A132" s="3" t="s">
        <v>139</v>
      </c>
      <c r="B132" s="3">
        <v>1557</v>
      </c>
      <c r="C132" s="3">
        <v>22</v>
      </c>
      <c r="D132" s="3">
        <v>1514</v>
      </c>
      <c r="E132" s="3">
        <v>21</v>
      </c>
      <c r="F132" s="3">
        <v>5002100</v>
      </c>
      <c r="G132" s="3" t="s">
        <v>26</v>
      </c>
      <c r="H132" s="4">
        <v>43889</v>
      </c>
      <c r="I132" s="5">
        <f>IF(B132=0,0,C132/B132)</f>
        <v>1.4129736673089274E-2</v>
      </c>
      <c r="J132" s="5">
        <f>IF(B132=0,0,D132/B132)</f>
        <v>0.97238278741168915</v>
      </c>
      <c r="K132" s="5">
        <f>IF(F132=0,0,B132/F132)</f>
        <v>3.112692669078987E-4</v>
      </c>
      <c r="L132" s="3" t="str">
        <f>_xlfn.IFS(I132&gt;0.05,"High Risk",I132&gt;=0.02,"Moderate Risk",I132&lt;0.02,"Low Risk")</f>
        <v>Low Risk</v>
      </c>
    </row>
    <row r="133" spans="1:12" x14ac:dyDescent="0.3">
      <c r="A133" s="3" t="s">
        <v>178</v>
      </c>
      <c r="B133" s="3">
        <v>1483</v>
      </c>
      <c r="C133" s="3">
        <v>24</v>
      </c>
      <c r="D133" s="3">
        <v>925</v>
      </c>
      <c r="E133" s="3">
        <v>534</v>
      </c>
      <c r="F133" s="3">
        <v>587154</v>
      </c>
      <c r="G133" s="3" t="s">
        <v>23</v>
      </c>
      <c r="H133" s="4">
        <v>43903</v>
      </c>
      <c r="I133" s="5">
        <f>IF(B133=0,0,C133/B133)</f>
        <v>1.6183412002697236E-2</v>
      </c>
      <c r="J133" s="5">
        <f>IF(B133=0,0,D133/B133)</f>
        <v>0.62373567093728932</v>
      </c>
      <c r="K133" s="5">
        <f>IF(F133=0,0,B133/F133)</f>
        <v>2.5257428204525558E-3</v>
      </c>
      <c r="L133" s="3" t="str">
        <f>_xlfn.IFS(I133&gt;0.05,"High Risk",I133&gt;=0.02,"Moderate Risk",I133&lt;0.02,"Low Risk")</f>
        <v>Low Risk</v>
      </c>
    </row>
    <row r="134" spans="1:12" x14ac:dyDescent="0.3">
      <c r="A134" s="3" t="s">
        <v>189</v>
      </c>
      <c r="B134" s="3">
        <v>1455</v>
      </c>
      <c r="C134" s="3">
        <v>50</v>
      </c>
      <c r="D134" s="3">
        <v>1157</v>
      </c>
      <c r="E134" s="3">
        <v>248</v>
      </c>
      <c r="F134" s="3">
        <v>11830801</v>
      </c>
      <c r="G134" s="3" t="s">
        <v>17</v>
      </c>
      <c r="H134" s="4">
        <v>43892</v>
      </c>
      <c r="I134" s="5">
        <f>IF(B134=0,0,C134/B134)</f>
        <v>3.4364261168384883E-2</v>
      </c>
      <c r="J134" s="5">
        <f>IF(B134=0,0,D134/B134)</f>
        <v>0.79518900343642607</v>
      </c>
      <c r="K134" s="5">
        <f>IF(F134=0,0,B134/F134)</f>
        <v>1.2298406506879795E-4</v>
      </c>
      <c r="L134" s="3" t="str">
        <f>_xlfn.IFS(I134&gt;0.05,"High Risk",I134&gt;=0.02,"Moderate Risk",I134&lt;0.02,"Low Risk")</f>
        <v>Moderate Risk</v>
      </c>
    </row>
    <row r="135" spans="1:12" x14ac:dyDescent="0.3">
      <c r="A135" s="3" t="s">
        <v>113</v>
      </c>
      <c r="B135" s="3">
        <v>1219</v>
      </c>
      <c r="C135" s="3">
        <v>31</v>
      </c>
      <c r="D135" s="3">
        <v>1045</v>
      </c>
      <c r="E135" s="3">
        <v>143</v>
      </c>
      <c r="F135" s="3">
        <v>1883936</v>
      </c>
      <c r="G135" s="3" t="s">
        <v>15</v>
      </c>
      <c r="H135" s="4">
        <v>43892</v>
      </c>
      <c r="I135" s="5">
        <f>IF(B135=0,0,C135/B135)</f>
        <v>2.5430680885972109E-2</v>
      </c>
      <c r="J135" s="5">
        <f>IF(B135=0,0,D135/B135)</f>
        <v>0.85726004922067267</v>
      </c>
      <c r="K135" s="5">
        <f>IF(F135=0,0,B135/F135)</f>
        <v>6.4704958130212494E-4</v>
      </c>
      <c r="L135" s="3" t="str">
        <f>_xlfn.IFS(I135&gt;0.05,"High Risk",I135&gt;=0.02,"Moderate Risk",I135&lt;0.02,"Low Risk")</f>
        <v>Moderate Risk</v>
      </c>
    </row>
    <row r="136" spans="1:12" x14ac:dyDescent="0.3">
      <c r="A136" s="3" t="s">
        <v>196</v>
      </c>
      <c r="B136" s="3">
        <v>1202</v>
      </c>
      <c r="C136" s="3">
        <v>35</v>
      </c>
      <c r="D136" s="3">
        <v>951</v>
      </c>
      <c r="E136" s="3">
        <v>216</v>
      </c>
      <c r="F136" s="3">
        <v>3474956</v>
      </c>
      <c r="G136" s="3" t="s">
        <v>23</v>
      </c>
      <c r="H136" s="4">
        <v>43903</v>
      </c>
      <c r="I136" s="5">
        <f>IF(B136=0,0,C136/B136)</f>
        <v>2.9118136439267885E-2</v>
      </c>
      <c r="J136" s="5">
        <f>IF(B136=0,0,D136/B136)</f>
        <v>0.79118136439267883</v>
      </c>
      <c r="K136" s="5">
        <f>IF(F136=0,0,B136/F136)</f>
        <v>3.4590366036289381E-4</v>
      </c>
      <c r="L136" s="3" t="str">
        <f>_xlfn.IFS(I136&gt;0.05,"High Risk",I136&gt;=0.02,"Moderate Risk",I136&lt;0.02,"Low Risk")</f>
        <v>Moderate Risk</v>
      </c>
    </row>
    <row r="137" spans="1:12" x14ac:dyDescent="0.3">
      <c r="A137" s="3" t="s">
        <v>106</v>
      </c>
      <c r="B137" s="3">
        <v>1176</v>
      </c>
      <c r="C137" s="3">
        <v>11</v>
      </c>
      <c r="D137" s="3">
        <v>1041</v>
      </c>
      <c r="E137" s="3">
        <v>124</v>
      </c>
      <c r="F137" s="3">
        <v>10213138</v>
      </c>
      <c r="G137" s="3" t="s">
        <v>13</v>
      </c>
      <c r="H137" s="4">
        <v>43892</v>
      </c>
      <c r="I137" s="5">
        <f>IF(B137=0,0,C137/B137)</f>
        <v>9.3537414965986394E-3</v>
      </c>
      <c r="J137" s="5">
        <f>IF(B137=0,0,D137/B137)</f>
        <v>0.88520408163265307</v>
      </c>
      <c r="K137" s="5">
        <f>IF(F137=0,0,B137/F137)</f>
        <v>1.1514580533426651E-4</v>
      </c>
      <c r="L137" s="3" t="str">
        <f>_xlfn.IFS(I137&gt;0.05,"High Risk",I137&gt;=0.02,"Moderate Risk",I137&lt;0.02,"Low Risk")</f>
        <v>Low Risk</v>
      </c>
    </row>
    <row r="138" spans="1:12" x14ac:dyDescent="0.3">
      <c r="A138" s="3" t="s">
        <v>116</v>
      </c>
      <c r="B138" s="3">
        <v>1167</v>
      </c>
      <c r="C138" s="3">
        <v>72</v>
      </c>
      <c r="D138" s="3">
        <v>646</v>
      </c>
      <c r="E138" s="3">
        <v>449</v>
      </c>
      <c r="F138" s="3">
        <v>5068618</v>
      </c>
      <c r="G138" s="3" t="s">
        <v>17</v>
      </c>
      <c r="H138" s="4">
        <v>43906</v>
      </c>
      <c r="I138" s="5">
        <f>IF(B138=0,0,C138/B138)</f>
        <v>6.1696658097686374E-2</v>
      </c>
      <c r="J138" s="5">
        <f>IF(B138=0,0,D138/B138)</f>
        <v>0.55355612682090827</v>
      </c>
      <c r="K138" s="5">
        <f>IF(F138=0,0,B138/F138)</f>
        <v>2.3024027456793942E-4</v>
      </c>
      <c r="L138" s="3" t="str">
        <f>_xlfn.IFS(I138&gt;0.05,"High Risk",I138&gt;=0.02,"Moderate Risk",I138&lt;0.02,"Low Risk")</f>
        <v>High Risk</v>
      </c>
    </row>
    <row r="139" spans="1:12" x14ac:dyDescent="0.3">
      <c r="A139" s="3" t="s">
        <v>82</v>
      </c>
      <c r="B139" s="3">
        <v>1137</v>
      </c>
      <c r="C139" s="3">
        <v>16</v>
      </c>
      <c r="D139" s="3">
        <v>922</v>
      </c>
      <c r="E139" s="3">
        <v>199</v>
      </c>
      <c r="F139" s="3">
        <v>3988368</v>
      </c>
      <c r="G139" s="3" t="s">
        <v>13</v>
      </c>
      <c r="H139" s="4">
        <v>43887</v>
      </c>
      <c r="I139" s="5">
        <f>IF(B139=0,0,C139/B139)</f>
        <v>1.4072119613016711E-2</v>
      </c>
      <c r="J139" s="5">
        <f>IF(B139=0,0,D139/B139)</f>
        <v>0.81090589270008795</v>
      </c>
      <c r="K139" s="5">
        <f>IF(F139=0,0,B139/F139)</f>
        <v>2.8507900976038319E-4</v>
      </c>
      <c r="L139" s="3" t="str">
        <f>_xlfn.IFS(I139&gt;0.05,"High Risk",I139&gt;=0.02,"Moderate Risk",I139&lt;0.02,"Low Risk")</f>
        <v>Low Risk</v>
      </c>
    </row>
    <row r="140" spans="1:12" x14ac:dyDescent="0.3">
      <c r="A140" s="3" t="s">
        <v>141</v>
      </c>
      <c r="B140" s="3">
        <v>1132</v>
      </c>
      <c r="C140" s="3">
        <v>69</v>
      </c>
      <c r="D140" s="3">
        <v>1027</v>
      </c>
      <c r="E140" s="3">
        <v>36</v>
      </c>
      <c r="F140" s="3">
        <v>24281433</v>
      </c>
      <c r="G140" s="3" t="s">
        <v>17</v>
      </c>
      <c r="H140" s="4">
        <v>43909</v>
      </c>
      <c r="I140" s="5">
        <f>IF(B140=0,0,C140/B140)</f>
        <v>6.0954063604240286E-2</v>
      </c>
      <c r="J140" s="5">
        <f>IF(B140=0,0,D140/B140)</f>
        <v>0.90724381625441697</v>
      </c>
      <c r="K140" s="5">
        <f>IF(F140=0,0,B140/F140)</f>
        <v>4.6619983260460779E-5</v>
      </c>
      <c r="L140" s="3" t="str">
        <f>_xlfn.IFS(I140&gt;0.05,"High Risk",I140&gt;=0.02,"Moderate Risk",I140&lt;0.02,"Low Risk")</f>
        <v>High Risk</v>
      </c>
    </row>
    <row r="141" spans="1:12" x14ac:dyDescent="0.3">
      <c r="A141" s="3" t="s">
        <v>192</v>
      </c>
      <c r="B141" s="3">
        <v>1128</v>
      </c>
      <c r="C141" s="3">
        <v>2</v>
      </c>
      <c r="D141" s="3">
        <v>986</v>
      </c>
      <c r="E141" s="3">
        <v>140</v>
      </c>
      <c r="F141" s="3">
        <v>45867852</v>
      </c>
      <c r="G141" s="3" t="s">
        <v>17</v>
      </c>
      <c r="H141" s="4">
        <v>43912</v>
      </c>
      <c r="I141" s="5">
        <f>IF(B141=0,0,C141/B141)</f>
        <v>1.7730496453900709E-3</v>
      </c>
      <c r="J141" s="5">
        <f>IF(B141=0,0,D141/B141)</f>
        <v>0.87411347517730498</v>
      </c>
      <c r="K141" s="5">
        <f>IF(F141=0,0,B141/F141)</f>
        <v>2.4592387714166339E-5</v>
      </c>
      <c r="L141" s="3" t="str">
        <f>_xlfn.IFS(I141&gt;0.05,"High Risk",I141&gt;=0.02,"Moderate Risk",I141&lt;0.02,"Low Risk")</f>
        <v>Low Risk</v>
      </c>
    </row>
    <row r="142" spans="1:12" x14ac:dyDescent="0.3">
      <c r="A142" s="3" t="s">
        <v>44</v>
      </c>
      <c r="B142" s="3">
        <v>1100</v>
      </c>
      <c r="C142" s="3">
        <v>53</v>
      </c>
      <c r="D142" s="3">
        <v>926</v>
      </c>
      <c r="E142" s="3">
        <v>121</v>
      </c>
      <c r="F142" s="3">
        <v>20954852</v>
      </c>
      <c r="G142" s="3" t="s">
        <v>17</v>
      </c>
      <c r="H142" s="4">
        <v>43899</v>
      </c>
      <c r="I142" s="5">
        <f>IF(B142=0,0,C142/B142)</f>
        <v>4.818181818181818E-2</v>
      </c>
      <c r="J142" s="5">
        <f>IF(B142=0,0,D142/B142)</f>
        <v>0.8418181818181818</v>
      </c>
      <c r="K142" s="5">
        <f>IF(F142=0,0,B142/F142)</f>
        <v>5.2493809071044739E-5</v>
      </c>
      <c r="L142" s="3" t="str">
        <f>_xlfn.IFS(I142&gt;0.05,"High Risk",I142&gt;=0.02,"Moderate Risk",I142&lt;0.02,"Low Risk")</f>
        <v>Moderate Risk</v>
      </c>
    </row>
    <row r="143" spans="1:12" x14ac:dyDescent="0.3">
      <c r="A143" s="3" t="s">
        <v>63</v>
      </c>
      <c r="B143" s="3">
        <v>1060</v>
      </c>
      <c r="C143" s="3">
        <v>19</v>
      </c>
      <c r="D143" s="3">
        <v>852</v>
      </c>
      <c r="E143" s="3">
        <v>189</v>
      </c>
      <c r="F143" s="3">
        <v>1208238</v>
      </c>
      <c r="G143" s="3" t="s">
        <v>13</v>
      </c>
      <c r="H143" s="4">
        <v>43899</v>
      </c>
      <c r="I143" s="5">
        <f>IF(B143=0,0,C143/B143)</f>
        <v>1.7924528301886792E-2</v>
      </c>
      <c r="J143" s="5">
        <f>IF(B143=0,0,D143/B143)</f>
        <v>0.80377358490566042</v>
      </c>
      <c r="K143" s="5">
        <f>IF(F143=0,0,B143/F143)</f>
        <v>8.7731059609116749E-4</v>
      </c>
      <c r="L143" s="3" t="str">
        <f>_xlfn.IFS(I143&gt;0.05,"High Risk",I143&gt;=0.02,"Moderate Risk",I143&lt;0.02,"Low Risk")</f>
        <v>Low Risk</v>
      </c>
    </row>
    <row r="144" spans="1:12" x14ac:dyDescent="0.3">
      <c r="A144" s="3" t="s">
        <v>19</v>
      </c>
      <c r="B144" s="3">
        <v>950</v>
      </c>
      <c r="C144" s="3">
        <v>41</v>
      </c>
      <c r="D144" s="3">
        <v>242</v>
      </c>
      <c r="E144" s="3">
        <v>667</v>
      </c>
      <c r="F144" s="3">
        <v>32956300</v>
      </c>
      <c r="G144" s="3" t="s">
        <v>17</v>
      </c>
      <c r="H144" s="4">
        <v>43911</v>
      </c>
      <c r="I144" s="5">
        <f>IF(B144=0,0,C144/B144)</f>
        <v>4.3157894736842103E-2</v>
      </c>
      <c r="J144" s="5">
        <f>IF(B144=0,0,D144/B144)</f>
        <v>0.25473684210526315</v>
      </c>
      <c r="K144" s="5">
        <f>IF(F144=0,0,B144/F144)</f>
        <v>2.8826051468156317E-5</v>
      </c>
      <c r="L144" s="3" t="str">
        <f>_xlfn.IFS(I144&gt;0.05,"High Risk",I144&gt;=0.02,"Moderate Risk",I144&lt;0.02,"Low Risk")</f>
        <v>Moderate Risk</v>
      </c>
    </row>
    <row r="145" spans="1:12" x14ac:dyDescent="0.3">
      <c r="A145" s="3" t="s">
        <v>52</v>
      </c>
      <c r="B145" s="3">
        <v>922</v>
      </c>
      <c r="C145" s="3">
        <v>75</v>
      </c>
      <c r="D145" s="3">
        <v>810</v>
      </c>
      <c r="E145" s="3">
        <v>37</v>
      </c>
      <c r="F145" s="3"/>
      <c r="G145" s="3" t="s">
        <v>17</v>
      </c>
      <c r="H145" s="4">
        <v>43909</v>
      </c>
      <c r="I145" s="5">
        <f>IF(B145=0,0,C145/B145)</f>
        <v>8.1344902386117135E-2</v>
      </c>
      <c r="J145" s="5">
        <f>IF(B145=0,0,D145/B145)</f>
        <v>0.87852494577006512</v>
      </c>
      <c r="K145" s="5">
        <f>IF(F145=0,0,B145/F145)</f>
        <v>0</v>
      </c>
      <c r="L145" s="3" t="str">
        <f>_xlfn.IFS(I145&gt;0.05,"High Risk",I145&gt;=0.02,"Moderate Risk",I145&lt;0.02,"Low Risk")</f>
        <v>High Risk</v>
      </c>
    </row>
    <row r="146" spans="1:12" x14ac:dyDescent="0.3">
      <c r="A146" s="3" t="s">
        <v>18</v>
      </c>
      <c r="B146" s="3">
        <v>907</v>
      </c>
      <c r="C146" s="3">
        <v>52</v>
      </c>
      <c r="D146" s="3">
        <v>803</v>
      </c>
      <c r="E146" s="3">
        <v>52</v>
      </c>
      <c r="F146" s="3">
        <v>77278</v>
      </c>
      <c r="G146" s="3" t="s">
        <v>15</v>
      </c>
      <c r="H146" s="4">
        <v>43892</v>
      </c>
      <c r="I146" s="5">
        <f>IF(B146=0,0,C146/B146)</f>
        <v>5.7331863285556783E-2</v>
      </c>
      <c r="J146" s="5">
        <f>IF(B146=0,0,D146/B146)</f>
        <v>0.88533627342888643</v>
      </c>
      <c r="K146" s="5">
        <f>IF(F146=0,0,B146/F146)</f>
        <v>1.1736846191671627E-2</v>
      </c>
      <c r="L146" s="3" t="str">
        <f>_xlfn.IFS(I146&gt;0.05,"High Risk",I146&gt;=0.02,"Moderate Risk",I146&lt;0.02,"Low Risk")</f>
        <v>High Risk</v>
      </c>
    </row>
    <row r="147" spans="1:12" x14ac:dyDescent="0.3">
      <c r="A147" s="3" t="s">
        <v>187</v>
      </c>
      <c r="B147" s="3">
        <v>874</v>
      </c>
      <c r="C147" s="3">
        <v>18</v>
      </c>
      <c r="D147" s="3">
        <v>607</v>
      </c>
      <c r="E147" s="3">
        <v>249</v>
      </c>
      <c r="F147" s="3">
        <v>8296582</v>
      </c>
      <c r="G147" s="3" t="s">
        <v>17</v>
      </c>
      <c r="H147" s="4">
        <v>43896</v>
      </c>
      <c r="I147" s="5">
        <f>IF(B147=0,0,C147/B147)</f>
        <v>2.0594965675057208E-2</v>
      </c>
      <c r="J147" s="5">
        <f>IF(B147=0,0,D147/B147)</f>
        <v>0.69450800915331812</v>
      </c>
      <c r="K147" s="5">
        <f>IF(F147=0,0,B147/F147)</f>
        <v>1.0534458648151732E-4</v>
      </c>
      <c r="L147" s="3" t="str">
        <f>_xlfn.IFS(I147&gt;0.05,"High Risk",I147&gt;=0.02,"Moderate Risk",I147&lt;0.02,"Low Risk")</f>
        <v>Moderate Risk</v>
      </c>
    </row>
    <row r="148" spans="1:12" x14ac:dyDescent="0.3">
      <c r="A148" s="3" t="s">
        <v>162</v>
      </c>
      <c r="B148" s="3">
        <v>865</v>
      </c>
      <c r="C148" s="3">
        <v>14</v>
      </c>
      <c r="D148" s="3">
        <v>734</v>
      </c>
      <c r="E148" s="3">
        <v>117</v>
      </c>
      <c r="F148" s="3">
        <v>219544</v>
      </c>
      <c r="G148" s="3" t="s">
        <v>17</v>
      </c>
      <c r="H148" s="4">
        <v>43927</v>
      </c>
      <c r="I148" s="5">
        <f>IF(B148=0,0,C148/B148)</f>
        <v>1.6184971098265895E-2</v>
      </c>
      <c r="J148" s="5">
        <f>IF(B148=0,0,D148/B148)</f>
        <v>0.84855491329479771</v>
      </c>
      <c r="K148" s="5">
        <f>IF(F148=0,0,B148/F148)</f>
        <v>3.9399846955507781E-3</v>
      </c>
      <c r="L148" s="3" t="str">
        <f>_xlfn.IFS(I148&gt;0.05,"High Risk",I148&gt;=0.02,"Moderate Risk",I148&lt;0.02,"Low Risk")</f>
        <v>Low Risk</v>
      </c>
    </row>
    <row r="149" spans="1:12" x14ac:dyDescent="0.3">
      <c r="A149" s="3" t="s">
        <v>104</v>
      </c>
      <c r="B149" s="3">
        <v>853</v>
      </c>
      <c r="C149" s="3">
        <v>10</v>
      </c>
      <c r="D149" s="3">
        <v>714</v>
      </c>
      <c r="E149" s="3">
        <v>129</v>
      </c>
      <c r="F149" s="3">
        <v>2962478</v>
      </c>
      <c r="G149" s="3" t="s">
        <v>21</v>
      </c>
      <c r="H149" s="4">
        <v>43900</v>
      </c>
      <c r="I149" s="5">
        <f>IF(B149=0,0,C149/B149)</f>
        <v>1.1723329425556858E-2</v>
      </c>
      <c r="J149" s="5">
        <f>IF(B149=0,0,D149/B149)</f>
        <v>0.83704572098475971</v>
      </c>
      <c r="K149" s="5">
        <f>IF(F149=0,0,B149/F149)</f>
        <v>2.8793462770018881E-4</v>
      </c>
      <c r="L149" s="3" t="str">
        <f>_xlfn.IFS(I149&gt;0.05,"High Risk",I149&gt;=0.02,"Moderate Risk",I149&lt;0.02,"Low Risk")</f>
        <v>Low Risk</v>
      </c>
    </row>
    <row r="150" spans="1:12" x14ac:dyDescent="0.3">
      <c r="A150" s="3" t="s">
        <v>40</v>
      </c>
      <c r="B150" s="3">
        <v>739</v>
      </c>
      <c r="C150" s="3">
        <v>2</v>
      </c>
      <c r="D150" s="3">
        <v>63</v>
      </c>
      <c r="E150" s="3">
        <v>674</v>
      </c>
      <c r="F150" s="3">
        <v>2356075</v>
      </c>
      <c r="G150" s="3" t="s">
        <v>17</v>
      </c>
      <c r="H150" s="4">
        <v>43920</v>
      </c>
      <c r="I150" s="5">
        <f>IF(B150=0,0,C150/B150)</f>
        <v>2.7063599458728013E-3</v>
      </c>
      <c r="J150" s="5">
        <f>IF(B150=0,0,D150/B150)</f>
        <v>8.5250338294993233E-2</v>
      </c>
      <c r="K150" s="5">
        <f>IF(F150=0,0,B150/F150)</f>
        <v>3.1365724775314879E-4</v>
      </c>
      <c r="L150" s="3" t="str">
        <f>_xlfn.IFS(I150&gt;0.05,"High Risk",I150&gt;=0.02,"Moderate Risk",I150&lt;0.02,"Low Risk")</f>
        <v>Low Risk</v>
      </c>
    </row>
    <row r="151" spans="1:12" x14ac:dyDescent="0.3">
      <c r="A151" s="3" t="s">
        <v>126</v>
      </c>
      <c r="B151" s="3">
        <v>701</v>
      </c>
      <c r="C151" s="3">
        <v>9</v>
      </c>
      <c r="D151" s="3">
        <v>665</v>
      </c>
      <c r="E151" s="3">
        <v>27</v>
      </c>
      <c r="F151" s="3">
        <v>441663</v>
      </c>
      <c r="G151" s="3" t="s">
        <v>15</v>
      </c>
      <c r="H151" s="4">
        <v>43897</v>
      </c>
      <c r="I151" s="5">
        <f>IF(B151=0,0,C151/B151)</f>
        <v>1.2838801711840228E-2</v>
      </c>
      <c r="J151" s="5">
        <f>IF(B151=0,0,D151/B151)</f>
        <v>0.94864479315263905</v>
      </c>
      <c r="K151" s="5">
        <f>IF(F151=0,0,B151/F151)</f>
        <v>1.5871829879342395E-3</v>
      </c>
      <c r="L151" s="3" t="str">
        <f>_xlfn.IFS(I151&gt;0.05,"High Risk",I151&gt;=0.02,"Moderate Risk",I151&lt;0.02,"Low Risk")</f>
        <v>Low Risk</v>
      </c>
    </row>
    <row r="152" spans="1:12" x14ac:dyDescent="0.3">
      <c r="A152" s="3" t="s">
        <v>161</v>
      </c>
      <c r="B152" s="3">
        <v>699</v>
      </c>
      <c r="C152" s="3">
        <v>42</v>
      </c>
      <c r="D152" s="3">
        <v>657</v>
      </c>
      <c r="E152" s="3">
        <v>0</v>
      </c>
      <c r="F152" s="3">
        <v>33938</v>
      </c>
      <c r="G152" s="3" t="s">
        <v>15</v>
      </c>
      <c r="H152" s="4">
        <v>43888</v>
      </c>
      <c r="I152" s="5">
        <f>IF(B152=0,0,C152/B152)</f>
        <v>6.0085836909871244E-2</v>
      </c>
      <c r="J152" s="5">
        <f>IF(B152=0,0,D152/B152)</f>
        <v>0.93991416309012876</v>
      </c>
      <c r="K152" s="5">
        <f>IF(F152=0,0,B152/F152)</f>
        <v>2.0596381637102954E-2</v>
      </c>
      <c r="L152" s="3" t="str">
        <f>_xlfn.IFS(I152&gt;0.05,"High Risk",I152&gt;=0.02,"Moderate Risk",I152&lt;0.02,"Low Risk")</f>
        <v>High Risk</v>
      </c>
    </row>
    <row r="153" spans="1:12" x14ac:dyDescent="0.3">
      <c r="A153" s="3" t="s">
        <v>181</v>
      </c>
      <c r="B153" s="3">
        <v>674</v>
      </c>
      <c r="C153" s="3">
        <v>40</v>
      </c>
      <c r="D153" s="3">
        <v>0</v>
      </c>
      <c r="E153" s="3">
        <v>634</v>
      </c>
      <c r="F153" s="3">
        <v>17539600</v>
      </c>
      <c r="G153" s="3" t="s">
        <v>13</v>
      </c>
      <c r="H153" s="4">
        <v>43912</v>
      </c>
      <c r="I153" s="5">
        <f>IF(B153=0,0,C153/B153)</f>
        <v>5.9347181008902079E-2</v>
      </c>
      <c r="J153" s="5">
        <f>IF(B153=0,0,D153/B153)</f>
        <v>0</v>
      </c>
      <c r="K153" s="5">
        <f>IF(F153=0,0,B153/F153)</f>
        <v>3.8427330155761816E-5</v>
      </c>
      <c r="L153" s="3" t="str">
        <f>_xlfn.IFS(I153&gt;0.05,"High Risk",I153&gt;=0.02,"Moderate Risk",I153&lt;0.02,"Low Risk")</f>
        <v>High Risk</v>
      </c>
    </row>
    <row r="154" spans="1:12" x14ac:dyDescent="0.3">
      <c r="A154" s="3" t="s">
        <v>184</v>
      </c>
      <c r="B154" s="3">
        <v>509</v>
      </c>
      <c r="C154" s="3">
        <v>21</v>
      </c>
      <c r="D154" s="3">
        <v>183</v>
      </c>
      <c r="E154" s="3">
        <v>305</v>
      </c>
      <c r="F154" s="3">
        <v>59886383</v>
      </c>
      <c r="G154" s="3" t="s">
        <v>17</v>
      </c>
      <c r="H154" s="4">
        <v>43906</v>
      </c>
      <c r="I154" s="5">
        <f>IF(B154=0,0,C154/B154)</f>
        <v>4.1257367387033402E-2</v>
      </c>
      <c r="J154" s="5">
        <f>IF(B154=0,0,D154/B154)</f>
        <v>0.35952848722986247</v>
      </c>
      <c r="K154" s="5">
        <f>IF(F154=0,0,B154/F154)</f>
        <v>8.4994279918358071E-6</v>
      </c>
      <c r="L154" s="3" t="str">
        <f>_xlfn.IFS(I154&gt;0.05,"High Risk",I154&gt;=0.02,"Moderate Risk",I154&lt;0.02,"Low Risk")</f>
        <v>Moderate Risk</v>
      </c>
    </row>
    <row r="155" spans="1:12" x14ac:dyDescent="0.3">
      <c r="A155" s="3" t="s">
        <v>115</v>
      </c>
      <c r="B155" s="3">
        <v>505</v>
      </c>
      <c r="C155" s="3">
        <v>12</v>
      </c>
      <c r="D155" s="3">
        <v>128</v>
      </c>
      <c r="E155" s="3">
        <v>365</v>
      </c>
      <c r="F155" s="3">
        <v>2143943</v>
      </c>
      <c r="G155" s="3" t="s">
        <v>17</v>
      </c>
      <c r="H155" s="4">
        <v>43964</v>
      </c>
      <c r="I155" s="5">
        <f>IF(B155=0,0,C155/B155)</f>
        <v>2.3762376237623763E-2</v>
      </c>
      <c r="J155" s="5">
        <f>IF(B155=0,0,D155/B155)</f>
        <v>0.25346534653465347</v>
      </c>
      <c r="K155" s="5">
        <f>IF(F155=0,0,B155/F155)</f>
        <v>2.3554730699463559E-4</v>
      </c>
      <c r="L155" s="3" t="str">
        <f>_xlfn.IFS(I155&gt;0.05,"High Risk",I155&gt;=0.02,"Moderate Risk",I155&lt;0.02,"Low Risk")</f>
        <v>Moderate Risk</v>
      </c>
    </row>
    <row r="156" spans="1:12" x14ac:dyDescent="0.3">
      <c r="A156" s="3" t="s">
        <v>182</v>
      </c>
      <c r="B156" s="3">
        <v>462</v>
      </c>
      <c r="C156" s="3">
        <v>7</v>
      </c>
      <c r="D156" s="3">
        <v>440</v>
      </c>
      <c r="E156" s="3">
        <v>15</v>
      </c>
      <c r="F156" s="3">
        <v>23821199</v>
      </c>
      <c r="G156" s="3" t="s">
        <v>13</v>
      </c>
      <c r="H156" s="4">
        <v>43851</v>
      </c>
      <c r="I156" s="5">
        <f>IF(B156=0,0,C156/B156)</f>
        <v>1.5151515151515152E-2</v>
      </c>
      <c r="J156" s="5">
        <f>IF(B156=0,0,D156/B156)</f>
        <v>0.95238095238095233</v>
      </c>
      <c r="K156" s="5">
        <f>IF(F156=0,0,B156/F156)</f>
        <v>1.9394489756791838E-5</v>
      </c>
      <c r="L156" s="3" t="str">
        <f>_xlfn.IFS(I156&gt;0.05,"High Risk",I156&gt;=0.02,"Moderate Risk",I156&lt;0.02,"Low Risk")</f>
        <v>Low Risk</v>
      </c>
    </row>
    <row r="157" spans="1:12" x14ac:dyDescent="0.3">
      <c r="A157" s="3" t="s">
        <v>199</v>
      </c>
      <c r="B157" s="3">
        <v>431</v>
      </c>
      <c r="C157" s="3">
        <v>0</v>
      </c>
      <c r="D157" s="3">
        <v>365</v>
      </c>
      <c r="E157" s="3">
        <v>66</v>
      </c>
      <c r="F157" s="3">
        <v>97425470</v>
      </c>
      <c r="G157" s="3" t="s">
        <v>13</v>
      </c>
      <c r="H157" s="4">
        <v>43853</v>
      </c>
      <c r="I157" s="5">
        <f>IF(B157=0,0,C157/B157)</f>
        <v>0</v>
      </c>
      <c r="J157" s="5">
        <f>IF(B157=0,0,D157/B157)</f>
        <v>0.84686774941995357</v>
      </c>
      <c r="K157" s="5">
        <f>IF(F157=0,0,B157/F157)</f>
        <v>4.4238944908348918E-6</v>
      </c>
      <c r="L157" s="3" t="str">
        <f>_xlfn.IFS(I157&gt;0.05,"High Risk",I157&gt;=0.02,"Moderate Risk",I157&lt;0.02,"Low Risk")</f>
        <v>Low Risk</v>
      </c>
    </row>
    <row r="158" spans="1:12" x14ac:dyDescent="0.3">
      <c r="A158" s="3" t="s">
        <v>91</v>
      </c>
      <c r="B158" s="3">
        <v>389</v>
      </c>
      <c r="C158" s="3">
        <v>20</v>
      </c>
      <c r="D158" s="3">
        <v>181</v>
      </c>
      <c r="E158" s="3">
        <v>188</v>
      </c>
      <c r="F158" s="3">
        <v>786936</v>
      </c>
      <c r="G158" s="3" t="s">
        <v>23</v>
      </c>
      <c r="H158" s="4">
        <v>43902</v>
      </c>
      <c r="I158" s="5">
        <f>IF(B158=0,0,C158/B158)</f>
        <v>5.1413881748071981E-2</v>
      </c>
      <c r="J158" s="5">
        <f>IF(B158=0,0,D158/B158)</f>
        <v>0.4652956298200514</v>
      </c>
      <c r="K158" s="5">
        <f>IF(F158=0,0,B158/F158)</f>
        <v>4.943222828794209E-4</v>
      </c>
      <c r="L158" s="3" t="str">
        <f>_xlfn.IFS(I158&gt;0.05,"High Risk",I158&gt;=0.02,"Moderate Risk",I158&lt;0.02,"Low Risk")</f>
        <v>High Risk</v>
      </c>
    </row>
    <row r="159" spans="1:12" x14ac:dyDescent="0.3">
      <c r="A159" s="3" t="s">
        <v>29</v>
      </c>
      <c r="B159" s="3">
        <v>382</v>
      </c>
      <c r="C159" s="3">
        <v>11</v>
      </c>
      <c r="D159" s="3">
        <v>91</v>
      </c>
      <c r="E159" s="3">
        <v>280</v>
      </c>
      <c r="F159" s="3">
        <v>393616</v>
      </c>
      <c r="G159" s="3" t="s">
        <v>21</v>
      </c>
      <c r="H159" s="4">
        <v>43905</v>
      </c>
      <c r="I159" s="5">
        <f>IF(B159=0,0,C159/B159)</f>
        <v>2.8795811518324606E-2</v>
      </c>
      <c r="J159" s="5">
        <f>IF(B159=0,0,D159/B159)</f>
        <v>0.23821989528795812</v>
      </c>
      <c r="K159" s="5">
        <f>IF(F159=0,0,B159/F159)</f>
        <v>9.7048900451201169E-4</v>
      </c>
      <c r="L159" s="3" t="str">
        <f>_xlfn.IFS(I159&gt;0.05,"High Risk",I159&gt;=0.02,"Moderate Risk",I159&lt;0.02,"Low Risk")</f>
        <v>Moderate Risk</v>
      </c>
    </row>
    <row r="160" spans="1:12" x14ac:dyDescent="0.3">
      <c r="A160" s="3" t="s">
        <v>46</v>
      </c>
      <c r="B160" s="3">
        <v>378</v>
      </c>
      <c r="C160" s="3">
        <v>1</v>
      </c>
      <c r="D160" s="3">
        <v>301</v>
      </c>
      <c r="E160" s="3">
        <v>76</v>
      </c>
      <c r="F160" s="3">
        <v>11922216</v>
      </c>
      <c r="G160" s="3" t="s">
        <v>17</v>
      </c>
      <c r="H160" s="4">
        <v>43921</v>
      </c>
      <c r="I160" s="5">
        <f>IF(B160=0,0,C160/B160)</f>
        <v>2.6455026455026454E-3</v>
      </c>
      <c r="J160" s="5">
        <f>IF(B160=0,0,D160/B160)</f>
        <v>0.79629629629629628</v>
      </c>
      <c r="K160" s="5">
        <f>IF(F160=0,0,B160/F160)</f>
        <v>3.1705515149197092E-5</v>
      </c>
      <c r="L160" s="3" t="str">
        <f>_xlfn.IFS(I160&gt;0.05,"High Risk",I160&gt;=0.02,"Moderate Risk",I160&lt;0.02,"Low Risk")</f>
        <v>Low Risk</v>
      </c>
    </row>
    <row r="161" spans="1:12" x14ac:dyDescent="0.3">
      <c r="A161" s="3" t="s">
        <v>56</v>
      </c>
      <c r="B161" s="3">
        <v>354</v>
      </c>
      <c r="C161" s="3">
        <v>7</v>
      </c>
      <c r="D161" s="3">
        <v>328</v>
      </c>
      <c r="E161" s="3">
        <v>19</v>
      </c>
      <c r="F161" s="3">
        <v>871326</v>
      </c>
      <c r="G161" s="3" t="s">
        <v>17</v>
      </c>
      <c r="H161" s="4">
        <v>43951</v>
      </c>
      <c r="I161" s="5">
        <f>IF(B161=0,0,C161/B161)</f>
        <v>1.977401129943503E-2</v>
      </c>
      <c r="J161" s="5">
        <f>IF(B161=0,0,D161/B161)</f>
        <v>0.92655367231638419</v>
      </c>
      <c r="K161" s="5">
        <f>IF(F161=0,0,B161/F161)</f>
        <v>4.0627732903643414E-4</v>
      </c>
      <c r="L161" s="3" t="str">
        <f>_xlfn.IFS(I161&gt;0.05,"High Risk",I161&gt;=0.02,"Moderate Risk",I161&lt;0.02,"Low Risk")</f>
        <v>Low Risk</v>
      </c>
    </row>
    <row r="162" spans="1:12" x14ac:dyDescent="0.3">
      <c r="A162" s="3" t="s">
        <v>45</v>
      </c>
      <c r="B162" s="3">
        <v>350</v>
      </c>
      <c r="C162" s="3">
        <v>6</v>
      </c>
      <c r="D162" s="3">
        <v>292</v>
      </c>
      <c r="E162" s="3">
        <v>52</v>
      </c>
      <c r="F162" s="3">
        <v>54446389</v>
      </c>
      <c r="G162" s="3" t="s">
        <v>13</v>
      </c>
      <c r="H162" s="4">
        <v>43913</v>
      </c>
      <c r="I162" s="5">
        <f>IF(B162=0,0,C162/B162)</f>
        <v>1.7142857142857144E-2</v>
      </c>
      <c r="J162" s="5">
        <f>IF(B162=0,0,D162/B162)</f>
        <v>0.8342857142857143</v>
      </c>
      <c r="K162" s="5">
        <f>IF(F162=0,0,B162/F162)</f>
        <v>6.4283418318155129E-6</v>
      </c>
      <c r="L162" s="3" t="str">
        <f>_xlfn.IFS(I162&gt;0.05,"High Risk",I162&gt;=0.02,"Moderate Risk",I162&lt;0.02,"Low Risk")</f>
        <v>Low Risk</v>
      </c>
    </row>
    <row r="163" spans="1:12" x14ac:dyDescent="0.3">
      <c r="A163" s="3" t="s">
        <v>128</v>
      </c>
      <c r="B163" s="3">
        <v>344</v>
      </c>
      <c r="C163" s="3">
        <v>10</v>
      </c>
      <c r="D163" s="3">
        <v>332</v>
      </c>
      <c r="E163" s="3">
        <v>2</v>
      </c>
      <c r="F163" s="3">
        <v>1271985</v>
      </c>
      <c r="G163" s="3" t="s">
        <v>17</v>
      </c>
      <c r="H163" s="4">
        <v>43908</v>
      </c>
      <c r="I163" s="5">
        <f>IF(B163=0,0,C163/B163)</f>
        <v>2.9069767441860465E-2</v>
      </c>
      <c r="J163" s="5">
        <f>IF(B163=0,0,D163/B163)</f>
        <v>0.96511627906976749</v>
      </c>
      <c r="K163" s="5">
        <f>IF(F163=0,0,B163/F163)</f>
        <v>2.7044344076384549E-4</v>
      </c>
      <c r="L163" s="3" t="str">
        <f>_xlfn.IFS(I163&gt;0.05,"High Risk",I163&gt;=0.02,"Moderate Risk",I163&lt;0.02,"Low Risk")</f>
        <v>Moderate Risk</v>
      </c>
    </row>
    <row r="164" spans="1:12" x14ac:dyDescent="0.3">
      <c r="A164" s="3" t="s">
        <v>81</v>
      </c>
      <c r="B164" s="3">
        <v>326</v>
      </c>
      <c r="C164" s="3">
        <v>8</v>
      </c>
      <c r="D164" s="3">
        <v>66</v>
      </c>
      <c r="E164" s="3">
        <v>252</v>
      </c>
      <c r="F164" s="3">
        <v>2422754</v>
      </c>
      <c r="G164" s="3" t="s">
        <v>17</v>
      </c>
      <c r="H164" s="4">
        <v>43907</v>
      </c>
      <c r="I164" s="5">
        <f>IF(B164=0,0,C164/B164)</f>
        <v>2.4539877300613498E-2</v>
      </c>
      <c r="J164" s="5">
        <f>IF(B164=0,0,D164/B164)</f>
        <v>0.20245398773006135</v>
      </c>
      <c r="K164" s="5">
        <f>IF(F164=0,0,B164/F164)</f>
        <v>1.345576150116768E-4</v>
      </c>
      <c r="L164" s="3" t="str">
        <f>_xlfn.IFS(I164&gt;0.05,"High Risk",I164&gt;=0.02,"Moderate Risk",I164&lt;0.02,"Low Risk")</f>
        <v>Moderate Risk</v>
      </c>
    </row>
    <row r="165" spans="1:12" x14ac:dyDescent="0.3">
      <c r="A165" s="3" t="s">
        <v>132</v>
      </c>
      <c r="B165" s="3">
        <v>289</v>
      </c>
      <c r="C165" s="3">
        <v>0</v>
      </c>
      <c r="D165" s="3">
        <v>222</v>
      </c>
      <c r="E165" s="3">
        <v>67</v>
      </c>
      <c r="F165" s="3">
        <v>3283344</v>
      </c>
      <c r="G165" s="3" t="s">
        <v>13</v>
      </c>
      <c r="H165" s="4">
        <v>43900</v>
      </c>
      <c r="I165" s="5">
        <f>IF(B165=0,0,C165/B165)</f>
        <v>0</v>
      </c>
      <c r="J165" s="5">
        <f>IF(B165=0,0,D165/B165)</f>
        <v>0.76816608996539792</v>
      </c>
      <c r="K165" s="5">
        <f>IF(F165=0,0,B165/F165)</f>
        <v>8.8020018615167948E-5</v>
      </c>
      <c r="L165" s="3" t="str">
        <f>_xlfn.IFS(I165&gt;0.05,"High Risk",I165&gt;=0.02,"Moderate Risk",I165&lt;0.02,"Low Risk")</f>
        <v>Low Risk</v>
      </c>
    </row>
    <row r="166" spans="1:12" x14ac:dyDescent="0.3">
      <c r="A166" s="3" t="s">
        <v>73</v>
      </c>
      <c r="B166" s="3">
        <v>265</v>
      </c>
      <c r="C166" s="3">
        <v>0</v>
      </c>
      <c r="D166" s="3">
        <v>191</v>
      </c>
      <c r="E166" s="3">
        <v>74</v>
      </c>
      <c r="F166" s="3">
        <v>3551175</v>
      </c>
      <c r="G166" s="3" t="s">
        <v>17</v>
      </c>
      <c r="H166" s="4">
        <v>43911</v>
      </c>
      <c r="I166" s="5">
        <f>IF(B166=0,0,C166/B166)</f>
        <v>0</v>
      </c>
      <c r="J166" s="5">
        <f>IF(B166=0,0,D166/B166)</f>
        <v>0.72075471698113203</v>
      </c>
      <c r="K166" s="5">
        <f>IF(F166=0,0,B166/F166)</f>
        <v>7.4623188099713479E-5</v>
      </c>
      <c r="L166" s="3" t="str">
        <f>_xlfn.IFS(I166&gt;0.05,"High Risk",I166&gt;=0.02,"Moderate Risk",I166&lt;0.02,"Low Risk")</f>
        <v>Low Risk</v>
      </c>
    </row>
    <row r="167" spans="1:12" x14ac:dyDescent="0.3">
      <c r="A167" s="3" t="s">
        <v>48</v>
      </c>
      <c r="B167" s="3">
        <v>226</v>
      </c>
      <c r="C167" s="3">
        <v>0</v>
      </c>
      <c r="D167" s="3">
        <v>147</v>
      </c>
      <c r="E167" s="3">
        <v>79</v>
      </c>
      <c r="F167" s="3">
        <v>16741375</v>
      </c>
      <c r="G167" s="3" t="s">
        <v>13</v>
      </c>
      <c r="H167" s="4">
        <v>43857</v>
      </c>
      <c r="I167" s="5">
        <f>IF(B167=0,0,C167/B167)</f>
        <v>0</v>
      </c>
      <c r="J167" s="5">
        <f>IF(B167=0,0,D167/B167)</f>
        <v>0.65044247787610621</v>
      </c>
      <c r="K167" s="5">
        <f>IF(F167=0,0,B167/F167)</f>
        <v>1.349948854260776E-5</v>
      </c>
      <c r="L167" s="3" t="str">
        <f>_xlfn.IFS(I167&gt;0.05,"High Risk",I167&gt;=0.02,"Moderate Risk",I167&lt;0.02,"Low Risk")</f>
        <v>Low Risk</v>
      </c>
    </row>
    <row r="168" spans="1:12" x14ac:dyDescent="0.3">
      <c r="A168" s="3" t="s">
        <v>188</v>
      </c>
      <c r="B168" s="3">
        <v>148</v>
      </c>
      <c r="C168" s="3">
        <v>8</v>
      </c>
      <c r="D168" s="3">
        <v>128</v>
      </c>
      <c r="E168" s="3">
        <v>12</v>
      </c>
      <c r="F168" s="3">
        <v>1399950</v>
      </c>
      <c r="G168" s="3" t="s">
        <v>21</v>
      </c>
      <c r="H168" s="4">
        <v>43902</v>
      </c>
      <c r="I168" s="5">
        <f>IF(B168=0,0,C168/B168)</f>
        <v>5.4054054054054057E-2</v>
      </c>
      <c r="J168" s="5">
        <f>IF(B168=0,0,D168/B168)</f>
        <v>0.86486486486486491</v>
      </c>
      <c r="K168" s="5">
        <f>IF(F168=0,0,B168/F168)</f>
        <v>1.0571806135933426E-4</v>
      </c>
      <c r="L168" s="3" t="str">
        <f>_xlfn.IFS(I168&gt;0.05,"High Risk",I168&gt;=0.02,"Moderate Risk",I168&lt;0.02,"Low Risk")</f>
        <v>High Risk</v>
      </c>
    </row>
    <row r="169" spans="1:12" x14ac:dyDescent="0.3">
      <c r="A169" s="3" t="s">
        <v>42</v>
      </c>
      <c r="B169" s="3">
        <v>141</v>
      </c>
      <c r="C169" s="3">
        <v>3</v>
      </c>
      <c r="D169" s="3">
        <v>138</v>
      </c>
      <c r="E169" s="3">
        <v>0</v>
      </c>
      <c r="F169" s="3">
        <v>437893</v>
      </c>
      <c r="G169" s="3" t="s">
        <v>13</v>
      </c>
      <c r="H169" s="4">
        <v>43899</v>
      </c>
      <c r="I169" s="5">
        <f>IF(B169=0,0,C169/B169)</f>
        <v>2.1276595744680851E-2</v>
      </c>
      <c r="J169" s="5">
        <f>IF(B169=0,0,D169/B169)</f>
        <v>0.97872340425531912</v>
      </c>
      <c r="K169" s="5">
        <f>IF(F169=0,0,B169/F169)</f>
        <v>3.2199646945715047E-4</v>
      </c>
      <c r="L169" s="3" t="str">
        <f>_xlfn.IFS(I169&gt;0.05,"High Risk",I169&gt;=0.02,"Moderate Risk",I169&lt;0.02,"Low Risk")</f>
        <v>Moderate Risk</v>
      </c>
    </row>
    <row r="170" spans="1:12" x14ac:dyDescent="0.3">
      <c r="A170" s="3" t="s">
        <v>131</v>
      </c>
      <c r="B170" s="3">
        <v>116</v>
      </c>
      <c r="C170" s="3">
        <v>4</v>
      </c>
      <c r="D170" s="3">
        <v>104</v>
      </c>
      <c r="E170" s="3">
        <v>8</v>
      </c>
      <c r="F170" s="3">
        <v>39270</v>
      </c>
      <c r="G170" s="3" t="s">
        <v>15</v>
      </c>
      <c r="H170" s="4">
        <v>43890</v>
      </c>
      <c r="I170" s="5">
        <f>IF(B170=0,0,C170/B170)</f>
        <v>3.4482758620689655E-2</v>
      </c>
      <c r="J170" s="5">
        <f>IF(B170=0,0,D170/B170)</f>
        <v>0.89655172413793105</v>
      </c>
      <c r="K170" s="5">
        <f>IF(F170=0,0,B170/F170)</f>
        <v>2.9539088362617776E-3</v>
      </c>
      <c r="L170" s="3" t="str">
        <f>_xlfn.IFS(I170&gt;0.05,"High Risk",I170&gt;=0.02,"Moderate Risk",I170&lt;0.02,"Low Risk")</f>
        <v>Moderate Risk</v>
      </c>
    </row>
    <row r="171" spans="1:12" x14ac:dyDescent="0.3">
      <c r="A171" s="3" t="s">
        <v>166</v>
      </c>
      <c r="B171" s="3">
        <v>114</v>
      </c>
      <c r="C171" s="3">
        <v>0</v>
      </c>
      <c r="D171" s="3">
        <v>39</v>
      </c>
      <c r="E171" s="3">
        <v>75</v>
      </c>
      <c r="F171" s="3">
        <v>98408</v>
      </c>
      <c r="G171" s="3" t="s">
        <v>17</v>
      </c>
      <c r="H171" s="4">
        <v>43904</v>
      </c>
      <c r="I171" s="5">
        <f>IF(B171=0,0,C171/B171)</f>
        <v>0</v>
      </c>
      <c r="J171" s="5">
        <f>IF(B171=0,0,D171/B171)</f>
        <v>0.34210526315789475</v>
      </c>
      <c r="K171" s="5">
        <f>IF(F171=0,0,B171/F171)</f>
        <v>1.158442403056662E-3</v>
      </c>
      <c r="L171" s="3" t="str">
        <f>_xlfn.IFS(I171&gt;0.05,"High Risk",I171&gt;=0.02,"Moderate Risk",I171&lt;0.02,"Low Risk")</f>
        <v>Low Risk</v>
      </c>
    </row>
    <row r="172" spans="1:12" x14ac:dyDescent="0.3">
      <c r="A172" s="3" t="s">
        <v>32</v>
      </c>
      <c r="B172" s="3">
        <v>110</v>
      </c>
      <c r="C172" s="3">
        <v>7</v>
      </c>
      <c r="D172" s="3">
        <v>94</v>
      </c>
      <c r="E172" s="3">
        <v>9</v>
      </c>
      <c r="F172" s="3">
        <v>287411</v>
      </c>
      <c r="G172" s="3" t="s">
        <v>21</v>
      </c>
      <c r="H172" s="4">
        <v>43907</v>
      </c>
      <c r="I172" s="5">
        <f>IF(B172=0,0,C172/B172)</f>
        <v>6.363636363636363E-2</v>
      </c>
      <c r="J172" s="5">
        <f>IF(B172=0,0,D172/B172)</f>
        <v>0.8545454545454545</v>
      </c>
      <c r="K172" s="5">
        <f>IF(F172=0,0,B172/F172)</f>
        <v>3.8272717467320317E-4</v>
      </c>
      <c r="L172" s="3" t="str">
        <f>_xlfn.IFS(I172&gt;0.05,"High Risk",I172&gt;=0.02,"Moderate Risk",I172&lt;0.02,"Low Risk")</f>
        <v>High Risk</v>
      </c>
    </row>
    <row r="173" spans="1:12" x14ac:dyDescent="0.3">
      <c r="A173" s="3" t="s">
        <v>37</v>
      </c>
      <c r="B173" s="3">
        <v>99</v>
      </c>
      <c r="C173" s="3">
        <v>0</v>
      </c>
      <c r="D173" s="3">
        <v>86</v>
      </c>
      <c r="E173" s="3">
        <v>13</v>
      </c>
      <c r="F173" s="3">
        <v>772443</v>
      </c>
      <c r="G173" s="3" t="s">
        <v>13</v>
      </c>
      <c r="H173" s="4">
        <v>43896</v>
      </c>
      <c r="I173" s="5">
        <f>IF(B173=0,0,C173/B173)</f>
        <v>0</v>
      </c>
      <c r="J173" s="5">
        <f>IF(B173=0,0,D173/B173)</f>
        <v>0.86868686868686873</v>
      </c>
      <c r="K173" s="5">
        <f>IF(F173=0,0,B173/F173)</f>
        <v>1.2816479662577045E-4</v>
      </c>
      <c r="L173" s="3" t="str">
        <f>_xlfn.IFS(I173&gt;0.05,"High Risk",I173&gt;=0.02,"Moderate Risk",I173&lt;0.02,"Low Risk")</f>
        <v>Low Risk</v>
      </c>
    </row>
    <row r="174" spans="1:12" x14ac:dyDescent="0.3">
      <c r="A174" s="3" t="s">
        <v>20</v>
      </c>
      <c r="B174" s="3">
        <v>86</v>
      </c>
      <c r="C174" s="3">
        <v>3</v>
      </c>
      <c r="D174" s="3">
        <v>65</v>
      </c>
      <c r="E174" s="3">
        <v>18</v>
      </c>
      <c r="F174" s="3">
        <v>98010</v>
      </c>
      <c r="G174" s="3" t="s">
        <v>21</v>
      </c>
      <c r="H174" s="4">
        <v>43903</v>
      </c>
      <c r="I174" s="5">
        <f>IF(B174=0,0,C174/B174)</f>
        <v>3.4883720930232558E-2</v>
      </c>
      <c r="J174" s="5">
        <f>IF(B174=0,0,D174/B174)</f>
        <v>0.7558139534883721</v>
      </c>
      <c r="K174" s="5">
        <f>IF(F174=0,0,B174/F174)</f>
        <v>8.7746148352208962E-4</v>
      </c>
      <c r="L174" s="3" t="str">
        <f>_xlfn.IFS(I174&gt;0.05,"High Risk",I174&gt;=0.02,"Moderate Risk",I174&lt;0.02,"Low Risk")</f>
        <v>Moderate Risk</v>
      </c>
    </row>
    <row r="175" spans="1:12" x14ac:dyDescent="0.3">
      <c r="A175" s="3" t="s">
        <v>118</v>
      </c>
      <c r="B175" s="3">
        <v>86</v>
      </c>
      <c r="C175" s="3">
        <v>1</v>
      </c>
      <c r="D175" s="3">
        <v>81</v>
      </c>
      <c r="E175" s="3">
        <v>4</v>
      </c>
      <c r="F175" s="3">
        <v>38139</v>
      </c>
      <c r="G175" s="3" t="s">
        <v>15</v>
      </c>
      <c r="H175" s="4">
        <v>43893</v>
      </c>
      <c r="I175" s="5">
        <f>IF(B175=0,0,C175/B175)</f>
        <v>1.1627906976744186E-2</v>
      </c>
      <c r="J175" s="5">
        <f>IF(B175=0,0,D175/B175)</f>
        <v>0.94186046511627908</v>
      </c>
      <c r="K175" s="5">
        <f>IF(F175=0,0,B175/F175)</f>
        <v>2.2549096725136999E-3</v>
      </c>
      <c r="L175" s="3" t="str">
        <f>_xlfn.IFS(I175&gt;0.05,"High Risk",I175&gt;=0.02,"Moderate Risk",I175&lt;0.02,"Low Risk")</f>
        <v>Low Risk</v>
      </c>
    </row>
    <row r="176" spans="1:12" x14ac:dyDescent="0.3">
      <c r="A176" s="3" t="s">
        <v>148</v>
      </c>
      <c r="B176" s="3">
        <v>62</v>
      </c>
      <c r="C176" s="3">
        <v>0</v>
      </c>
      <c r="D176" s="3">
        <v>11</v>
      </c>
      <c r="E176" s="3">
        <v>51</v>
      </c>
      <c r="F176" s="3">
        <v>8963009</v>
      </c>
      <c r="G176" s="3" t="s">
        <v>26</v>
      </c>
      <c r="H176" s="4">
        <v>43910</v>
      </c>
      <c r="I176" s="5">
        <f>IF(B176=0,0,C176/B176)</f>
        <v>0</v>
      </c>
      <c r="J176" s="5">
        <f>IF(B176=0,0,D176/B176)</f>
        <v>0.17741935483870969</v>
      </c>
      <c r="K176" s="5">
        <f>IF(F176=0,0,B176/F176)</f>
        <v>6.9173198420307291E-6</v>
      </c>
      <c r="L176" s="3" t="str">
        <f>_xlfn.IFS(I176&gt;0.05,"High Risk",I176&gt;=0.02,"Moderate Risk",I176&lt;0.02,"Low Risk")</f>
        <v>Low Risk</v>
      </c>
    </row>
    <row r="177" spans="1:12" x14ac:dyDescent="0.3">
      <c r="A177" s="3" t="s">
        <v>160</v>
      </c>
      <c r="B177" s="3">
        <v>52</v>
      </c>
      <c r="C177" s="3">
        <v>0</v>
      </c>
      <c r="D177" s="3">
        <v>39</v>
      </c>
      <c r="E177" s="3">
        <v>13</v>
      </c>
      <c r="F177" s="3">
        <v>104000</v>
      </c>
      <c r="G177" s="3" t="s">
        <v>21</v>
      </c>
      <c r="H177" s="4">
        <v>43901</v>
      </c>
      <c r="I177" s="5">
        <f>IF(B177=0,0,C177/B177)</f>
        <v>0</v>
      </c>
      <c r="J177" s="5">
        <f>IF(B177=0,0,D177/B177)</f>
        <v>0.75</v>
      </c>
      <c r="K177" s="5">
        <f>IF(F177=0,0,B177/F177)</f>
        <v>5.0000000000000001E-4</v>
      </c>
      <c r="L177" s="3" t="str">
        <f>_xlfn.IFS(I177&gt;0.05,"High Risk",I177&gt;=0.02,"Moderate Risk",I177&lt;0.02,"Low Risk")</f>
        <v>Low Risk</v>
      </c>
    </row>
    <row r="178" spans="1:12" x14ac:dyDescent="0.3">
      <c r="A178" s="3" t="s">
        <v>35</v>
      </c>
      <c r="B178" s="3">
        <v>48</v>
      </c>
      <c r="C178" s="3">
        <v>2</v>
      </c>
      <c r="D178" s="3">
        <v>26</v>
      </c>
      <c r="E178" s="3">
        <v>20</v>
      </c>
      <c r="F178" s="3">
        <v>398312</v>
      </c>
      <c r="G178" s="3" t="s">
        <v>21</v>
      </c>
      <c r="H178" s="4">
        <v>43913</v>
      </c>
      <c r="I178" s="5">
        <f>IF(B178=0,0,C178/B178)</f>
        <v>4.1666666666666664E-2</v>
      </c>
      <c r="J178" s="5">
        <f>IF(B178=0,0,D178/B178)</f>
        <v>0.54166666666666663</v>
      </c>
      <c r="K178" s="5">
        <f>IF(F178=0,0,B178/F178)</f>
        <v>1.2050854606439174E-4</v>
      </c>
      <c r="L178" s="3" t="str">
        <f>_xlfn.IFS(I178&gt;0.05,"High Risk",I178&gt;=0.02,"Moderate Risk",I178&lt;0.02,"Low Risk")</f>
        <v>Moderate Risk</v>
      </c>
    </row>
    <row r="179" spans="1:12" x14ac:dyDescent="0.3">
      <c r="A179" s="3" t="s">
        <v>77</v>
      </c>
      <c r="B179" s="3">
        <v>27</v>
      </c>
      <c r="C179" s="3">
        <v>0</v>
      </c>
      <c r="D179" s="3">
        <v>18</v>
      </c>
      <c r="E179" s="3">
        <v>9</v>
      </c>
      <c r="F179" s="3">
        <v>897095</v>
      </c>
      <c r="G179" s="3" t="s">
        <v>26</v>
      </c>
      <c r="H179" s="4">
        <v>43909</v>
      </c>
      <c r="I179" s="5">
        <f>IF(B179=0,0,C179/B179)</f>
        <v>0</v>
      </c>
      <c r="J179" s="5">
        <f>IF(B179=0,0,D179/B179)</f>
        <v>0.66666666666666663</v>
      </c>
      <c r="K179" s="5">
        <f>IF(F179=0,0,B179/F179)</f>
        <v>3.0097146901944609E-5</v>
      </c>
      <c r="L179" s="3" t="str">
        <f>_xlfn.IFS(I179&gt;0.05,"High Risk",I179&gt;=0.02,"Moderate Risk",I179&lt;0.02,"Low Risk")</f>
        <v>Low Risk</v>
      </c>
    </row>
    <row r="180" spans="1:12" x14ac:dyDescent="0.3">
      <c r="A180" s="3" t="s">
        <v>159</v>
      </c>
      <c r="B180" s="3">
        <v>24</v>
      </c>
      <c r="C180" s="3">
        <v>0</v>
      </c>
      <c r="D180" s="3">
        <v>22</v>
      </c>
      <c r="E180" s="3">
        <v>2</v>
      </c>
      <c r="F180" s="3">
        <v>183712</v>
      </c>
      <c r="G180" s="3" t="s">
        <v>21</v>
      </c>
      <c r="H180" s="4">
        <v>43903</v>
      </c>
      <c r="I180" s="5">
        <f>IF(B180=0,0,C180/B180)</f>
        <v>0</v>
      </c>
      <c r="J180" s="5">
        <f>IF(B180=0,0,D180/B180)</f>
        <v>0.91666666666666663</v>
      </c>
      <c r="K180" s="5">
        <f>IF(F180=0,0,B180/F180)</f>
        <v>1.306392614527086E-4</v>
      </c>
      <c r="L180" s="3" t="str">
        <f>_xlfn.IFS(I180&gt;0.05,"High Risk",I180&gt;=0.02,"Moderate Risk",I180&lt;0.02,"Low Risk")</f>
        <v>Low Risk</v>
      </c>
    </row>
    <row r="181" spans="1:12" x14ac:dyDescent="0.3">
      <c r="A181" s="3" t="s">
        <v>186</v>
      </c>
      <c r="B181" s="3">
        <v>24</v>
      </c>
      <c r="C181" s="3">
        <v>0</v>
      </c>
      <c r="D181" s="3">
        <v>0</v>
      </c>
      <c r="E181" s="3">
        <v>24</v>
      </c>
      <c r="F181" s="3">
        <v>1320812</v>
      </c>
      <c r="G181" s="3" t="s">
        <v>13</v>
      </c>
      <c r="H181" s="4">
        <v>43911</v>
      </c>
      <c r="I181" s="5">
        <f>IF(B181=0,0,C181/B181)</f>
        <v>0</v>
      </c>
      <c r="J181" s="5">
        <f>IF(B181=0,0,D181/B181)</f>
        <v>0</v>
      </c>
      <c r="K181" s="5">
        <f>IF(F181=0,0,B181/F181)</f>
        <v>1.8170640484792688E-5</v>
      </c>
      <c r="L181" s="3" t="str">
        <f>_xlfn.IFS(I181&gt;0.05,"High Risk",I181&gt;=0.02,"Moderate Risk",I181&lt;0.02,"Low Risk")</f>
        <v>Low Risk</v>
      </c>
    </row>
    <row r="182" spans="1:12" x14ac:dyDescent="0.3">
      <c r="A182" s="3" t="s">
        <v>87</v>
      </c>
      <c r="B182" s="3">
        <v>23</v>
      </c>
      <c r="C182" s="3">
        <v>0</v>
      </c>
      <c r="D182" s="3">
        <v>23</v>
      </c>
      <c r="E182" s="3">
        <v>0</v>
      </c>
      <c r="F182" s="3">
        <v>112576</v>
      </c>
      <c r="G182" s="3" t="s">
        <v>21</v>
      </c>
      <c r="H182" s="4">
        <v>43912</v>
      </c>
      <c r="I182" s="5">
        <f>IF(B182=0,0,C182/B182)</f>
        <v>0</v>
      </c>
      <c r="J182" s="5">
        <f>IF(B182=0,0,D182/B182)</f>
        <v>1</v>
      </c>
      <c r="K182" s="5">
        <f>IF(F182=0,0,B182/F182)</f>
        <v>2.0430642410460489E-4</v>
      </c>
      <c r="L182" s="3" t="str">
        <f>_xlfn.IFS(I182&gt;0.05,"High Risk",I182&gt;=0.02,"Moderate Risk",I182&lt;0.02,"Low Risk")</f>
        <v>Low Risk</v>
      </c>
    </row>
    <row r="183" spans="1:12" x14ac:dyDescent="0.3">
      <c r="A183" s="3" t="s">
        <v>112</v>
      </c>
      <c r="B183" s="3">
        <v>20</v>
      </c>
      <c r="C183" s="3">
        <v>0</v>
      </c>
      <c r="D183" s="3">
        <v>19</v>
      </c>
      <c r="E183" s="3">
        <v>1</v>
      </c>
      <c r="F183" s="3">
        <v>7285750</v>
      </c>
      <c r="G183" s="3" t="s">
        <v>13</v>
      </c>
      <c r="H183" s="4">
        <v>43914</v>
      </c>
      <c r="I183" s="5">
        <f>IF(B183=0,0,C183/B183)</f>
        <v>0</v>
      </c>
      <c r="J183" s="5">
        <f>IF(B183=0,0,D183/B183)</f>
        <v>0.95</v>
      </c>
      <c r="K183" s="5">
        <f>IF(F183=0,0,B183/F183)</f>
        <v>2.7450845829187114E-6</v>
      </c>
      <c r="L183" s="3" t="str">
        <f>_xlfn.IFS(I183&gt;0.05,"High Risk",I183&gt;=0.02,"Moderate Risk",I183&lt;0.02,"Low Risk")</f>
        <v>Low Risk</v>
      </c>
    </row>
    <row r="184" spans="1:12" x14ac:dyDescent="0.3">
      <c r="A184" s="3" t="s">
        <v>67</v>
      </c>
      <c r="B184" s="3">
        <v>18</v>
      </c>
      <c r="C184" s="3">
        <v>0</v>
      </c>
      <c r="D184" s="3">
        <v>18</v>
      </c>
      <c r="E184" s="3">
        <v>0</v>
      </c>
      <c r="F184" s="3">
        <v>72004</v>
      </c>
      <c r="G184" s="3" t="s">
        <v>21</v>
      </c>
      <c r="H184" s="4">
        <v>43912</v>
      </c>
      <c r="I184" s="5">
        <f>IF(B184=0,0,C184/B184)</f>
        <v>0</v>
      </c>
      <c r="J184" s="5">
        <f>IF(B184=0,0,D184/B184)</f>
        <v>1</v>
      </c>
      <c r="K184" s="5">
        <f>IF(F184=0,0,B184/F184)</f>
        <v>2.4998611188267316E-4</v>
      </c>
      <c r="L184" s="3" t="str">
        <f>_xlfn.IFS(I184&gt;0.05,"High Risk",I184&gt;=0.02,"Moderate Risk",I184&lt;0.02,"Low Risk")</f>
        <v>Low Risk</v>
      </c>
    </row>
    <row r="185" spans="1:12" x14ac:dyDescent="0.3">
      <c r="A185" s="3" t="s">
        <v>158</v>
      </c>
      <c r="B185" s="3">
        <v>17</v>
      </c>
      <c r="C185" s="3">
        <v>0</v>
      </c>
      <c r="D185" s="3">
        <v>15</v>
      </c>
      <c r="E185" s="3">
        <v>2</v>
      </c>
      <c r="F185" s="3">
        <v>53237</v>
      </c>
      <c r="G185" s="3" t="s">
        <v>21</v>
      </c>
      <c r="H185" s="4">
        <v>43914</v>
      </c>
      <c r="I185" s="5">
        <f>IF(B185=0,0,C185/B185)</f>
        <v>0</v>
      </c>
      <c r="J185" s="5">
        <f>IF(B185=0,0,D185/B185)</f>
        <v>0.88235294117647056</v>
      </c>
      <c r="K185" s="5">
        <f>IF(F185=0,0,B185/F185)</f>
        <v>3.1932678400360654E-4</v>
      </c>
      <c r="L185" s="3" t="str">
        <f>_xlfn.IFS(I185&gt;0.05,"High Risk",I185&gt;=0.02,"Moderate Risk",I185&lt;0.02,"Low Risk")</f>
        <v>Low Risk</v>
      </c>
    </row>
    <row r="186" spans="1:12" x14ac:dyDescent="0.3">
      <c r="A186" s="3" t="s">
        <v>86</v>
      </c>
      <c r="B186" s="3">
        <v>14</v>
      </c>
      <c r="C186" s="3">
        <v>0</v>
      </c>
      <c r="D186" s="3">
        <v>13</v>
      </c>
      <c r="E186" s="3">
        <v>1</v>
      </c>
      <c r="F186" s="3">
        <v>56780</v>
      </c>
      <c r="G186" s="3" t="s">
        <v>21</v>
      </c>
      <c r="H186" s="4">
        <v>43898</v>
      </c>
      <c r="I186" s="5">
        <f>IF(B186=0,0,C186/B186)</f>
        <v>0</v>
      </c>
      <c r="J186" s="5">
        <f>IF(B186=0,0,D186/B186)</f>
        <v>0.9285714285714286</v>
      </c>
      <c r="K186" s="5">
        <f>IF(F186=0,0,B186/F186)</f>
        <v>2.4656569214512151E-4</v>
      </c>
      <c r="L186" s="3" t="str">
        <f>_xlfn.IFS(I186&gt;0.05,"High Risk",I186&gt;=0.02,"Moderate Risk",I186&lt;0.02,"Low Risk")</f>
        <v>Low Risk</v>
      </c>
    </row>
    <row r="187" spans="1:12" x14ac:dyDescent="0.3">
      <c r="A187" s="3" t="s">
        <v>93</v>
      </c>
      <c r="B187" s="3">
        <v>12</v>
      </c>
      <c r="C187" s="3">
        <v>0</v>
      </c>
      <c r="D187" s="3">
        <v>12</v>
      </c>
      <c r="E187" s="3">
        <v>0</v>
      </c>
      <c r="F187" s="3">
        <v>528</v>
      </c>
      <c r="G187" s="3" t="s">
        <v>15</v>
      </c>
      <c r="H187" s="4">
        <v>43912</v>
      </c>
      <c r="I187" s="5">
        <f>IF(B187=0,0,C187/B187)</f>
        <v>0</v>
      </c>
      <c r="J187" s="5">
        <f>IF(B187=0,0,D187/B187)</f>
        <v>1</v>
      </c>
      <c r="K187" s="5">
        <f>IF(F187=0,0,B187/F187)</f>
        <v>2.2727272727272728E-2</v>
      </c>
      <c r="L187" s="3" t="str">
        <f>_xlfn.IFS(I187&gt;0.05,"High Risk",I187&gt;=0.02,"Moderate Risk",I187&lt;0.02,"Low Risk")</f>
        <v>Low Risk</v>
      </c>
    </row>
    <row r="188" spans="1:12" x14ac:dyDescent="0.3">
      <c r="A188" s="3" t="s">
        <v>201</v>
      </c>
      <c r="B188" s="3">
        <v>10</v>
      </c>
      <c r="C188" s="3">
        <v>1</v>
      </c>
      <c r="D188" s="3">
        <v>8</v>
      </c>
      <c r="E188" s="3">
        <v>1</v>
      </c>
      <c r="F188" s="3">
        <v>598682</v>
      </c>
      <c r="G188" s="3" t="s">
        <v>17</v>
      </c>
      <c r="H188" s="4">
        <v>43925</v>
      </c>
      <c r="I188" s="5">
        <f>IF(B188=0,0,C188/B188)</f>
        <v>0.1</v>
      </c>
      <c r="J188" s="5">
        <f>IF(B188=0,0,D188/B188)</f>
        <v>0.8</v>
      </c>
      <c r="K188" s="5">
        <f>IF(F188=0,0,B188/F188)</f>
        <v>1.6703358377235327E-5</v>
      </c>
      <c r="L188" s="3" t="str">
        <f>_xlfn.IFS(I188&gt;0.05,"High Risk",I188&gt;=0.02,"Moderate Risk",I188&lt;0.02,"Low Risk")</f>
        <v>High Risk</v>
      </c>
    </row>
    <row r="189" spans="1:1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</sheetData>
  <sortState xmlns:xlrd2="http://schemas.microsoft.com/office/spreadsheetml/2017/richdata2" ref="A2:L190">
    <sortCondition descending="1" ref="B1:B190"/>
  </sortState>
  <conditionalFormatting sqref="I2:I188">
    <cfRule type="cellIs" dxfId="0" priority="1" operator="greaterThan">
      <formula>0.05</formula>
    </cfRule>
  </conditionalFormatting>
  <conditionalFormatting sqref="J2:J188">
    <cfRule type="colorScale" priority="2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K2:K188">
    <cfRule type="dataBar" priority="3">
      <dataBar>
        <cfvo type="num" val="0"/>
        <cfvo type="num" val="1"/>
        <color rgb="FF638EC6"/>
      </dataBar>
    </cfRule>
  </conditionalFormatting>
  <conditionalFormatting sqref="L2:L188">
    <cfRule type="iconSet" priority="4">
      <iconSet iconSet="3Arrows">
        <cfvo type="num" val="0"/>
        <cfvo type="num" val="0.02"/>
        <cfvo type="num" val="0.05"/>
      </iconSet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CBAC-C67C-4D32-BE8E-FF5B7B0956F9}">
  <dimension ref="A3:B10"/>
  <sheetViews>
    <sheetView workbookViewId="0">
      <selection activeCell="F5" sqref="F5"/>
    </sheetView>
  </sheetViews>
  <sheetFormatPr defaultRowHeight="14.4" x14ac:dyDescent="0.3"/>
  <cols>
    <col min="1" max="1" width="15.6640625" bestFit="1" customWidth="1"/>
    <col min="2" max="2" width="16.44140625" bestFit="1" customWidth="1"/>
  </cols>
  <sheetData>
    <row r="3" spans="1:2" x14ac:dyDescent="0.3">
      <c r="A3" s="6" t="s">
        <v>205</v>
      </c>
      <c r="B3" t="s">
        <v>207</v>
      </c>
    </row>
    <row r="4" spans="1:2" x14ac:dyDescent="0.3">
      <c r="A4" s="7" t="s">
        <v>17</v>
      </c>
      <c r="B4" s="8">
        <v>947320</v>
      </c>
    </row>
    <row r="5" spans="1:2" x14ac:dyDescent="0.3">
      <c r="A5" s="7" t="s">
        <v>13</v>
      </c>
      <c r="B5" s="8">
        <v>3946274</v>
      </c>
    </row>
    <row r="6" spans="1:2" x14ac:dyDescent="0.3">
      <c r="A6" s="7" t="s">
        <v>26</v>
      </c>
      <c r="B6" s="8">
        <v>16949</v>
      </c>
    </row>
    <row r="7" spans="1:2" x14ac:dyDescent="0.3">
      <c r="A7" s="7" t="s">
        <v>15</v>
      </c>
      <c r="B7" s="8">
        <v>2792084</v>
      </c>
    </row>
    <row r="8" spans="1:2" x14ac:dyDescent="0.3">
      <c r="A8" s="7" t="s">
        <v>21</v>
      </c>
      <c r="B8" s="8">
        <v>4997374</v>
      </c>
    </row>
    <row r="9" spans="1:2" x14ac:dyDescent="0.3">
      <c r="A9" s="7" t="s">
        <v>23</v>
      </c>
      <c r="B9" s="8">
        <v>3780484</v>
      </c>
    </row>
    <row r="10" spans="1:2" x14ac:dyDescent="0.3">
      <c r="A10" s="7" t="s">
        <v>206</v>
      </c>
      <c r="B10" s="8">
        <v>16480485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0961-6AF6-40C8-81C7-5DDCC18DB378}">
  <dimension ref="A2:E21"/>
  <sheetViews>
    <sheetView tabSelected="1" workbookViewId="0">
      <selection activeCell="D21" sqref="D21"/>
    </sheetView>
  </sheetViews>
  <sheetFormatPr defaultRowHeight="14.4" x14ac:dyDescent="0.3"/>
  <cols>
    <col min="1" max="1" width="15.6640625" bestFit="1" customWidth="1"/>
    <col min="2" max="2" width="26.21875" bestFit="1" customWidth="1"/>
  </cols>
  <sheetData>
    <row r="2" spans="1:4" x14ac:dyDescent="0.3">
      <c r="D2" s="11" t="s">
        <v>211</v>
      </c>
    </row>
    <row r="3" spans="1:4" x14ac:dyDescent="0.3">
      <c r="A3" s="6" t="s">
        <v>205</v>
      </c>
      <c r="B3" t="s">
        <v>210</v>
      </c>
    </row>
    <row r="4" spans="1:4" x14ac:dyDescent="0.3">
      <c r="A4" s="7" t="s">
        <v>17</v>
      </c>
      <c r="B4" s="2">
        <v>0.57911964724294851</v>
      </c>
    </row>
    <row r="5" spans="1:4" x14ac:dyDescent="0.3">
      <c r="A5" s="7" t="s">
        <v>13</v>
      </c>
      <c r="B5" s="2">
        <v>0.71909286212483592</v>
      </c>
    </row>
    <row r="6" spans="1:4" x14ac:dyDescent="0.3">
      <c r="A6" s="7" t="s">
        <v>26</v>
      </c>
      <c r="B6" s="2">
        <v>0.60622789947817179</v>
      </c>
    </row>
    <row r="7" spans="1:4" x14ac:dyDescent="0.3">
      <c r="A7" s="7" t="s">
        <v>15</v>
      </c>
      <c r="B7" s="2">
        <v>0.67558647969861008</v>
      </c>
    </row>
    <row r="8" spans="1:4" x14ac:dyDescent="0.3">
      <c r="A8" s="7" t="s">
        <v>21</v>
      </c>
      <c r="B8" s="2">
        <v>0.6507568698684647</v>
      </c>
    </row>
    <row r="9" spans="1:4" x14ac:dyDescent="0.3">
      <c r="A9" s="7" t="s">
        <v>23</v>
      </c>
      <c r="B9" s="2">
        <v>0.599354487411487</v>
      </c>
    </row>
    <row r="10" spans="1:4" x14ac:dyDescent="0.3">
      <c r="A10" s="7" t="s">
        <v>206</v>
      </c>
      <c r="B10" s="2">
        <v>0.64820336794510736</v>
      </c>
    </row>
    <row r="21" spans="5:5" x14ac:dyDescent="0.3">
      <c r="E21" t="s">
        <v>212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Pivot table</vt:lpstr>
      <vt:lpstr>Brainstorming answer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dishantjain88879@gmail.com</cp:lastModifiedBy>
  <dcterms:created xsi:type="dcterms:W3CDTF">2025-08-10T10:25:53Z</dcterms:created>
  <dcterms:modified xsi:type="dcterms:W3CDTF">2025-08-10T14:24:55Z</dcterms:modified>
</cp:coreProperties>
</file>