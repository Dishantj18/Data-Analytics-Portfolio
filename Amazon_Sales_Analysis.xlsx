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disha\Desktop\Data Analytics\projects\"/>
    </mc:Choice>
  </mc:AlternateContent>
  <xr:revisionPtr revIDLastSave="0" documentId="13_ncr:1_{5A1A0954-282C-4524-AF5F-42FF65E7DE34}" xr6:coauthVersionLast="47" xr6:coauthVersionMax="47" xr10:uidLastSave="{00000000-0000-0000-0000-000000000000}"/>
  <bookViews>
    <workbookView xWindow="-108" yWindow="-108" windowWidth="23256" windowHeight="12456" xr2:uid="{00000000-000D-0000-FFFF-FFFF00000000}"/>
  </bookViews>
  <sheets>
    <sheet name="PIVOT A" sheetId="12" r:id="rId1"/>
    <sheet name="PIVOT B" sheetId="13" r:id="rId2"/>
    <sheet name="PIVOT C" sheetId="14" r:id="rId3"/>
    <sheet name="KPI_Pivots" sheetId="16" r:id="rId4"/>
    <sheet name="GETPIVOTDATA" sheetId="17" r:id="rId5"/>
    <sheet name="SalesTbl" sheetId="1" r:id="rId6"/>
    <sheet name="ProductTbl" sheetId="2" r:id="rId7"/>
    <sheet name="RegionTbl" sheetId="3" r:id="rId8"/>
    <sheet name="CustomerTbl" sheetId="4" r:id="rId9"/>
    <sheet name="Pivot_Ref_SalesByRegCat" sheetId="5" r:id="rId10"/>
    <sheet name="Pivot_Ref_CountByStatus" sheetId="6" r:id="rId11"/>
    <sheet name="Pivot_Ref_AvgDelTime" sheetId="7" r:id="rId12"/>
    <sheet name="Pivot_Ref_RegionKPI" sheetId="8" r:id="rId13"/>
    <sheet name="Pivot_Ref_ProductSales" sheetId="9" r:id="rId14"/>
    <sheet name="Brainstorm answers" sheetId="18" r:id="rId15"/>
    <sheet name="README" sheetId="11" r:id="rId16"/>
  </sheets>
  <definedNames>
    <definedName name="NativeTimeline_Order_Date">#N/A</definedName>
    <definedName name="Slicer_Delivery_Status">#N/A</definedName>
    <definedName name="Slicer_Payment_Method">#N/A</definedName>
    <definedName name="Slicer_Region">#N/A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7" l="1"/>
  <c r="D9" i="17"/>
  <c r="D8" i="17"/>
  <c r="D12" i="17"/>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D13" i="17"/>
  <c r="E10" i="17"/>
  <c r="E9" i="17"/>
  <c r="E8" i="17"/>
  <c r="D4" i="17"/>
  <c r="D2" i="17"/>
</calcChain>
</file>

<file path=xl/sharedStrings.xml><?xml version="1.0" encoding="utf-8"?>
<sst xmlns="http://schemas.openxmlformats.org/spreadsheetml/2006/main" count="1678" uniqueCount="384">
  <si>
    <t>Order ID</t>
  </si>
  <si>
    <t>Order Date</t>
  </si>
  <si>
    <t>Delivery Date</t>
  </si>
  <si>
    <t>Cancel Date</t>
  </si>
  <si>
    <t>Customer ID</t>
  </si>
  <si>
    <t>Product ID</t>
  </si>
  <si>
    <t>Region</t>
  </si>
  <si>
    <t>Sale Price/Unit</t>
  </si>
  <si>
    <t>Quantity</t>
  </si>
  <si>
    <t>Total Amount</t>
  </si>
  <si>
    <t>Payment Method</t>
  </si>
  <si>
    <t>Delivery Status</t>
  </si>
  <si>
    <t>Fulfillment Partner</t>
  </si>
  <si>
    <t>Calc Amount</t>
  </si>
  <si>
    <t>Amount Match Flag</t>
  </si>
  <si>
    <t>Is Cancelled</t>
  </si>
  <si>
    <t>Delivery Time (Days)</t>
  </si>
  <si>
    <t>Delivery Performance</t>
  </si>
  <si>
    <t>Effective Sales</t>
  </si>
  <si>
    <t>Product Name</t>
  </si>
  <si>
    <t>Category</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</si>
  <si>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</si>
  <si>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</si>
  <si>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</si>
  <si>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</si>
  <si>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</si>
  <si>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</si>
  <si>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</si>
  <si>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</si>
  <si>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</si>
  <si>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</si>
  <si>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</si>
  <si>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</si>
  <si>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</si>
  <si>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</si>
  <si>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</si>
  <si>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</si>
  <si>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</si>
  <si>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</si>
  <si>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</si>
  <si>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</si>
  <si>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</si>
  <si>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</si>
  <si>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</si>
  <si>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</si>
  <si>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</si>
  <si>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</si>
  <si>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</si>
  <si>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</si>
  <si>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</si>
  <si>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</si>
  <si>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</si>
  <si>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</si>
  <si>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</si>
  <si>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</si>
  <si>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</si>
  <si>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</si>
  <si>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</si>
  <si>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</si>
  <si>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</si>
  <si>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</si>
  <si>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</si>
  <si>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</si>
  <si>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</si>
  <si>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</si>
  <si>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</si>
  <si>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</si>
  <si>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</si>
  <si>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</si>
  <si>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</si>
  <si>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</si>
  <si>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</si>
  <si>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</si>
  <si>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</si>
  <si>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</si>
  <si>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</si>
  <si>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</si>
  <si>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</si>
  <si>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</si>
  <si>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</si>
  <si>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</si>
  <si>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</si>
  <si>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</si>
  <si>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</si>
  <si>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</si>
  <si>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</si>
  <si>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</si>
  <si>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</si>
  <si>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</si>
  <si>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</si>
  <si>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</si>
  <si>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</si>
  <si>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</si>
  <si>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</si>
  <si>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</si>
  <si>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</si>
  <si>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</si>
  <si>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</si>
  <si>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</si>
  <si>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</si>
  <si>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</si>
  <si>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</si>
  <si>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</si>
  <si>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</si>
  <si>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</si>
  <si>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</si>
  <si>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</si>
  <si>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</si>
  <si>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</si>
  <si>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</si>
  <si>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</si>
  <si>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</si>
  <si>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</si>
  <si>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</si>
  <si>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</si>
  <si>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</si>
  <si>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</si>
  <si>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</si>
  <si>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</si>
  <si>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</si>
  <si>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</si>
  <si>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CUST021</t>
  </si>
  <si>
    <t>CUST029</t>
  </si>
  <si>
    <t>CUST044</t>
  </si>
  <si>
    <t>CUST027</t>
  </si>
  <si>
    <t>CUST009</t>
  </si>
  <si>
    <t>CUST042</t>
  </si>
  <si>
    <t>CUST019</t>
  </si>
  <si>
    <t>CUST013</t>
  </si>
  <si>
    <t>CUST046</t>
  </si>
  <si>
    <t>CUST045</t>
  </si>
  <si>
    <t>CUST023</t>
  </si>
  <si>
    <t>CUST033</t>
  </si>
  <si>
    <t>CUST047</t>
  </si>
  <si>
    <t>CUST011</t>
  </si>
  <si>
    <t>CUST041</t>
  </si>
  <si>
    <t>CUST025</t>
  </si>
  <si>
    <t>CUST016</t>
  </si>
  <si>
    <t>CUST028</t>
  </si>
  <si>
    <t>CUST040</t>
  </si>
  <si>
    <t>CUST018</t>
  </si>
  <si>
    <t>CUST007</t>
  </si>
  <si>
    <t>CUST008</t>
  </si>
  <si>
    <t>CUST014</t>
  </si>
  <si>
    <t>CUST037</t>
  </si>
  <si>
    <t>CUST032</t>
  </si>
  <si>
    <t>CUST024</t>
  </si>
  <si>
    <t>CUST006</t>
  </si>
  <si>
    <t>CUST001</t>
  </si>
  <si>
    <t>CUST039</t>
  </si>
  <si>
    <t>CUST026</t>
  </si>
  <si>
    <t>CUST017</t>
  </si>
  <si>
    <t>CUST003</t>
  </si>
  <si>
    <t>CUST035</t>
  </si>
  <si>
    <t>CUST022</t>
  </si>
  <si>
    <t>CUST004</t>
  </si>
  <si>
    <t>CUST048</t>
  </si>
  <si>
    <t>CUST050</t>
  </si>
  <si>
    <t>CUST015</t>
  </si>
  <si>
    <t>CUST043</t>
  </si>
  <si>
    <t>CUST031</t>
  </si>
  <si>
    <t>CUST036</t>
  </si>
  <si>
    <t>CUST034</t>
  </si>
  <si>
    <t>PROD012</t>
  </si>
  <si>
    <t>PROD018</t>
  </si>
  <si>
    <t>PROD013</t>
  </si>
  <si>
    <t>PROD010</t>
  </si>
  <si>
    <t>PROD020</t>
  </si>
  <si>
    <t>PROD021</t>
  </si>
  <si>
    <t>PROD019</t>
  </si>
  <si>
    <t>PROD003</t>
  </si>
  <si>
    <t>PROD014</t>
  </si>
  <si>
    <t>PROD006</t>
  </si>
  <si>
    <t>PROD017</t>
  </si>
  <si>
    <t>PROD005</t>
  </si>
  <si>
    <t>PROD015</t>
  </si>
  <si>
    <t>PROD008</t>
  </si>
  <si>
    <t>PROD001</t>
  </si>
  <si>
    <t>PROD002</t>
  </si>
  <si>
    <t>PROD022</t>
  </si>
  <si>
    <t>PROD009</t>
  </si>
  <si>
    <t>PROD011</t>
  </si>
  <si>
    <t>PROD016</t>
  </si>
  <si>
    <t>PROD007</t>
  </si>
  <si>
    <t>PROD004</t>
  </si>
  <si>
    <t>North</t>
  </si>
  <si>
    <t>East</t>
  </si>
  <si>
    <t>South</t>
  </si>
  <si>
    <t>Central</t>
  </si>
  <si>
    <t>West</t>
  </si>
  <si>
    <t>Apple Pay</t>
  </si>
  <si>
    <t>Credit Card</t>
  </si>
  <si>
    <t>Paypal</t>
  </si>
  <si>
    <t>Amazon Pay</t>
  </si>
  <si>
    <t>Debit Card</t>
  </si>
  <si>
    <t>Cancelled</t>
  </si>
  <si>
    <t>Delivered</t>
  </si>
  <si>
    <t>In Transit</t>
  </si>
  <si>
    <t>DHL</t>
  </si>
  <si>
    <t>USPS</t>
  </si>
  <si>
    <t>UPS</t>
  </si>
  <si>
    <t>Amazon Logistics</t>
  </si>
  <si>
    <t>FedEx</t>
  </si>
  <si>
    <t>OK</t>
  </si>
  <si>
    <t>nan</t>
  </si>
  <si>
    <t>Fast</t>
  </si>
  <si>
    <t>Slow</t>
  </si>
  <si>
    <t>Lamp</t>
  </si>
  <si>
    <t>Doll House</t>
  </si>
  <si>
    <t>Vacuum Cleaner</t>
  </si>
  <si>
    <t>Jeans</t>
  </si>
  <si>
    <t>Bluetooth Speaker</t>
  </si>
  <si>
    <t>Wall Clock</t>
  </si>
  <si>
    <t>Formal Shirt</t>
  </si>
  <si>
    <t>Cookware Set</t>
  </si>
  <si>
    <t>Smartwatch</t>
  </si>
  <si>
    <t>Shoes</t>
  </si>
  <si>
    <t>Gaming Mouse</t>
  </si>
  <si>
    <t>T-Shirt</t>
  </si>
  <si>
    <t>Novel</t>
  </si>
  <si>
    <t>Textbook</t>
  </si>
  <si>
    <t>Smartphone</t>
  </si>
  <si>
    <t>Action Figure</t>
  </si>
  <si>
    <t>Backpack</t>
  </si>
  <si>
    <t>Magazine</t>
  </si>
  <si>
    <t>Headphones</t>
  </si>
  <si>
    <t>Cookware Set Pro</t>
  </si>
  <si>
    <t>Puzzle</t>
  </si>
  <si>
    <t>Leg Set</t>
  </si>
  <si>
    <t>Home</t>
  </si>
  <si>
    <t>Toys</t>
  </si>
  <si>
    <t>Fashion</t>
  </si>
  <si>
    <t>Electronics</t>
  </si>
  <si>
    <t>Books</t>
  </si>
  <si>
    <t>Cost Price</t>
  </si>
  <si>
    <t>Description</t>
  </si>
  <si>
    <t>Latest model with 5G, dual SIM, and OLED display</t>
  </si>
  <si>
    <t>Collectible superhero action figure for ages 8+</t>
  </si>
  <si>
    <t>Non-stick 5-piece cookware set for daily use</t>
  </si>
  <si>
    <t>300-piece creative building block toy set</t>
  </si>
  <si>
    <t>Cotton t-shirt, available in multiple colors</t>
  </si>
  <si>
    <t>Casual wear shoes for men and women</t>
  </si>
  <si>
    <t>1000-piece jigsaw puzzle</t>
  </si>
  <si>
    <t>University-level textbook on computer science</t>
  </si>
  <si>
    <t>Monthly lifestyle magazine</t>
  </si>
  <si>
    <t>Slim fit denim jeans with stretch</t>
  </si>
  <si>
    <t>Wireless noise-cancelling over-ear headphones</t>
  </si>
  <si>
    <t>LED desk lamp with dimmable light</t>
  </si>
  <si>
    <t>Portable cordless vacuum cleaner</t>
  </si>
  <si>
    <t>Fitness-focused smartwatch with heart rate monitoring</t>
  </si>
  <si>
    <t>Best-selling fiction novel</t>
  </si>
  <si>
    <t>Premium 10-piece stainless steel cookware collection</t>
  </si>
  <si>
    <t>High DPI gaming mouse with RGB lighting</t>
  </si>
  <si>
    <t>Wooden doll house with accessories</t>
  </si>
  <si>
    <t>Long-sleeve formal shirt for office wear</t>
  </si>
  <si>
    <t>Portable speaker with deep bass and 12h battery life</t>
  </si>
  <si>
    <t>Silent quartz wall clock with modern design</t>
  </si>
  <si>
    <t>Waterproof backpack with laptop compartment</t>
  </si>
  <si>
    <t>Sales Target</t>
  </si>
  <si>
    <t>Customer Name</t>
  </si>
  <si>
    <t>Customer Type</t>
  </si>
  <si>
    <t>City</t>
  </si>
  <si>
    <t>State</t>
  </si>
  <si>
    <t>CUST002</t>
  </si>
  <si>
    <t>CUST005</t>
  </si>
  <si>
    <t>CUST010</t>
  </si>
  <si>
    <t>CUST012</t>
  </si>
  <si>
    <t>CUST020</t>
  </si>
  <si>
    <t>CUST030</t>
  </si>
  <si>
    <t>CUST038</t>
  </si>
  <si>
    <t>CUST049</t>
  </si>
  <si>
    <t>James Miller</t>
  </si>
  <si>
    <t>Emily Johnson</t>
  </si>
  <si>
    <t>Ethan Davis</t>
  </si>
  <si>
    <t>Noah Wilson</t>
  </si>
  <si>
    <t>Olivia Martinez</t>
  </si>
  <si>
    <t>Ava Robinson</t>
  </si>
  <si>
    <t>Liam Walker</t>
  </si>
  <si>
    <t>Harper Young</t>
  </si>
  <si>
    <t>Jackson Allen</t>
  </si>
  <si>
    <t>Charlotte Harris</t>
  </si>
  <si>
    <t>Mason Hall</t>
  </si>
  <si>
    <t>Ava White</t>
  </si>
  <si>
    <t>Elijah Lewis</t>
  </si>
  <si>
    <t>Emma King</t>
  </si>
  <si>
    <t>Grace Scott</t>
  </si>
  <si>
    <t>Benjamin Wright</t>
  </si>
  <si>
    <t>Zoe Mitchell</t>
  </si>
  <si>
    <t>Charlotte Reed</t>
  </si>
  <si>
    <t>Scarlett Murphy</t>
  </si>
  <si>
    <t>Hazel Brooks</t>
  </si>
  <si>
    <t>Lily Bennett</t>
  </si>
  <si>
    <t>Mason Collins</t>
  </si>
  <si>
    <t>Luke Gray</t>
  </si>
  <si>
    <t>Hazel Rivera</t>
  </si>
  <si>
    <t>Lily Simmons</t>
  </si>
  <si>
    <t>Scarlett Adams</t>
  </si>
  <si>
    <t>Luke Torres</t>
  </si>
  <si>
    <t>Logan Ramirez</t>
  </si>
  <si>
    <t>Benjamin Clark</t>
  </si>
  <si>
    <t>Jacob Price</t>
  </si>
  <si>
    <t>Lily Reed</t>
  </si>
  <si>
    <t>Grace Ward</t>
  </si>
  <si>
    <t>Hazel Gray</t>
  </si>
  <si>
    <t>Business</t>
  </si>
  <si>
    <t>Prime</t>
  </si>
  <si>
    <t>Individual</t>
  </si>
  <si>
    <t>New York</t>
  </si>
  <si>
    <t>Seattle</t>
  </si>
  <si>
    <t>Austin</t>
  </si>
  <si>
    <t>San Francisco</t>
  </si>
  <si>
    <t>Chicago</t>
  </si>
  <si>
    <t>Dallas</t>
  </si>
  <si>
    <t>Miami</t>
  </si>
  <si>
    <t>Phoenix</t>
  </si>
  <si>
    <t>Washington</t>
  </si>
  <si>
    <t>Texas</t>
  </si>
  <si>
    <t>California</t>
  </si>
  <si>
    <t>Illinois</t>
  </si>
  <si>
    <t>Florida</t>
  </si>
  <si>
    <t>Arizona</t>
  </si>
  <si>
    <t>Orders</t>
  </si>
  <si>
    <t>Average_Delivery_Time_Days</t>
  </si>
  <si>
    <t>Total_Orders</t>
  </si>
  <si>
    <t>Cancelled_Orders</t>
  </si>
  <si>
    <t>Effective_Sales</t>
  </si>
  <si>
    <t>Cancellation_Rate_%</t>
  </si>
  <si>
    <t>Instructions</t>
  </si>
  <si>
    <t>HOW TO USE THIS TEMPLATE</t>
  </si>
  <si>
    <t>1) 'CleanedData' has helper columns: Delivery Time (Days), Delivery Performance, Effective Sales, Is Cancelled.</t>
  </si>
  <si>
    <t>2) Insert &gt; PivotTable from 'CleanedData' (use entire table). Recommended pivots:</t>
  </si>
  <si>
    <t xml:space="preserve">   a) Rows: Region; Columns: Category; Values: Sum of Effective Sales.</t>
  </si>
  <si>
    <t xml:space="preserve">   b) Rows: Delivery Status; Values: Count of Order ID.</t>
  </si>
  <si>
    <t xml:space="preserve">   c) Rows: Region; Values: Average of Delivery Time (Days).</t>
  </si>
  <si>
    <t xml:space="preserve">   Filters/Slicers: Region, Payment Method, Delivery Status; Group Order Date by Months.</t>
  </si>
  <si>
    <t>3) XLOOKUP customer names in a new column on 'CleanedData':</t>
  </si>
  <si>
    <t xml:space="preserve">   =IFERROR(XLOOKUP([@[Customer ID]],CustomerMaster!A:B,CustomerMaster!B:B),"Not Found")</t>
  </si>
  <si>
    <t>4) Cancellation Rate by Region = Cancelled Orders / Total Orders (see Pivot_Ref_RegionKPI or create in pivot).</t>
  </si>
  <si>
    <t>5) KPI Cards: Total Revenue (sum Effective Sales), % Fast Deliveries, Top 3 Regions, Highest-Selling Product.</t>
  </si>
  <si>
    <t>6) Use PivotCharts for visuals; place slicers left, charts center, KPI cards right.</t>
  </si>
  <si>
    <t>Row Labels</t>
  </si>
  <si>
    <t>Grand Total</t>
  </si>
  <si>
    <t>Sum of Effective Sales</t>
  </si>
  <si>
    <t>(All)</t>
  </si>
  <si>
    <t>Count of Order ID</t>
  </si>
  <si>
    <t>Average of Delivery Time (Days)</t>
  </si>
  <si>
    <t>Column Labels</t>
  </si>
  <si>
    <t>Pivot for total revenue</t>
  </si>
  <si>
    <r>
      <rPr>
        <b/>
        <sz val="12"/>
        <color theme="1"/>
        <rFont val="Calibri"/>
        <family val="2"/>
        <scheme val="minor"/>
      </rPr>
      <t>Pivot for</t>
    </r>
    <r>
      <rPr>
        <sz val="11"/>
        <color theme="1"/>
        <rFont val="Calibri"/>
        <family val="2"/>
        <scheme val="minor"/>
      </rPr>
      <t xml:space="preserve"> </t>
    </r>
    <r>
      <rPr>
        <b/>
        <sz val="11"/>
        <color theme="1"/>
        <rFont val="Calibri"/>
        <family val="2"/>
        <scheme val="minor"/>
      </rPr>
      <t>Delivery Performance</t>
    </r>
  </si>
  <si>
    <r>
      <rPr>
        <b/>
        <sz val="11"/>
        <color theme="1"/>
        <rFont val="Calibri"/>
        <family val="2"/>
        <scheme val="minor"/>
      </rPr>
      <t>Pivot for</t>
    </r>
    <r>
      <rPr>
        <sz val="11"/>
        <color theme="1"/>
        <rFont val="Calibri"/>
        <family val="2"/>
        <scheme val="minor"/>
      </rPr>
      <t xml:space="preserve"> </t>
    </r>
    <r>
      <rPr>
        <b/>
        <sz val="11"/>
        <color theme="1"/>
        <rFont val="Calibri"/>
        <family val="2"/>
        <scheme val="minor"/>
      </rPr>
      <t>Region sales</t>
    </r>
  </si>
  <si>
    <t>C.</t>
  </si>
  <si>
    <t>B.</t>
  </si>
  <si>
    <t>A.</t>
  </si>
  <si>
    <t>D.</t>
  </si>
  <si>
    <r>
      <rPr>
        <b/>
        <sz val="11"/>
        <color theme="1"/>
        <rFont val="Calibri"/>
        <family val="2"/>
        <scheme val="minor"/>
      </rPr>
      <t>Pivot for</t>
    </r>
    <r>
      <rPr>
        <sz val="11"/>
        <color theme="1"/>
        <rFont val="Calibri"/>
        <family val="2"/>
        <scheme val="minor"/>
      </rPr>
      <t xml:space="preserve"> </t>
    </r>
    <r>
      <rPr>
        <b/>
        <sz val="11"/>
        <color theme="1"/>
        <rFont val="Calibri"/>
        <family val="2"/>
        <scheme val="minor"/>
      </rPr>
      <t>Product sales</t>
    </r>
  </si>
  <si>
    <t>Total revenue</t>
  </si>
  <si>
    <t>% Fast deleveries</t>
  </si>
  <si>
    <t>Top 3 regions</t>
  </si>
  <si>
    <t>Top  region 1</t>
  </si>
  <si>
    <t>Top  region 2</t>
  </si>
  <si>
    <t>Top  region 3</t>
  </si>
  <si>
    <t>Revenue</t>
  </si>
  <si>
    <t>Highest-selling Product</t>
  </si>
  <si>
    <t>sales value</t>
  </si>
  <si>
    <t>A</t>
  </si>
  <si>
    <t>B</t>
  </si>
  <si>
    <t>C</t>
  </si>
  <si>
    <t>D</t>
  </si>
  <si>
    <t>Brainstorming Reflection</t>
  </si>
  <si>
    <t>● What is the most successful product category in terms of revenue?</t>
  </si>
  <si>
    <t>Ans: Smatphone is the most successful product category in terms of revenue.</t>
  </si>
  <si>
    <t>● Which region has the highest order cancellation rate?</t>
  </si>
  <si>
    <t>Ans: NORTH region has the highest cancellation rate of 40%.</t>
  </si>
  <si>
    <t xml:space="preserve">● How many orders were delivered within 2 days? </t>
  </si>
  <si>
    <t>Ans: 11 orders were deleivered within 2 days.</t>
  </si>
  <si>
    <t>● How has the use of XLOOKUP simplified cross-sheet analysis?</t>
  </si>
  <si>
    <t>Example:</t>
  </si>
  <si>
    <t>=XLOOKUP([@[Customer ID]], CustomerTbl[Customer ID], CustomerTbl[Customer Name])</t>
  </si>
  <si>
    <t>This directly says: “Find this Customer ID in CustomerTbl and return the Name.”</t>
  </si>
  <si>
    <r>
      <t xml:space="preserve">With </t>
    </r>
    <r>
      <rPr>
        <sz val="10"/>
        <color theme="1"/>
        <rFont val="Arial Unicode MS"/>
      </rPr>
      <t>XLOOKUP</t>
    </r>
    <r>
      <rPr>
        <sz val="11"/>
        <color theme="1"/>
        <rFont val="Calibri"/>
        <family val="2"/>
        <scheme val="minor"/>
      </rPr>
      <t xml:space="preserve">, we directly specify </t>
    </r>
    <r>
      <rPr>
        <i/>
        <sz val="11"/>
        <color theme="1"/>
        <rFont val="Calibri"/>
        <family val="2"/>
        <scheme val="minor"/>
      </rPr>
      <t>lookup column</t>
    </r>
    <r>
      <rPr>
        <sz val="11"/>
        <color theme="1"/>
        <rFont val="Calibri"/>
        <family val="2"/>
        <scheme val="minor"/>
      </rPr>
      <t xml:space="preserve"> and </t>
    </r>
    <r>
      <rPr>
        <i/>
        <sz val="11"/>
        <color theme="1"/>
        <rFont val="Calibri"/>
        <family val="2"/>
        <scheme val="minor"/>
      </rPr>
      <t>return column</t>
    </r>
    <r>
      <rPr>
        <sz val="11"/>
        <color theme="1"/>
        <rFont val="Calibri"/>
        <family val="2"/>
        <scheme val="minor"/>
      </rPr>
      <t xml:space="preserve"> — no need to count positions.</t>
    </r>
  </si>
  <si>
    <t>● What recommendations would you give to improve delivery performance?</t>
  </si>
  <si>
    <r>
      <t xml:space="preserve">we had to use </t>
    </r>
    <r>
      <rPr>
        <sz val="10"/>
        <color theme="1"/>
        <rFont val="Arial Unicode MS"/>
      </rPr>
      <t>VLOOKUP</t>
    </r>
    <r>
      <rPr>
        <sz val="11"/>
        <color theme="1"/>
        <rFont val="Calibri"/>
        <family val="2"/>
        <scheme val="minor"/>
      </rPr>
      <t xml:space="preserve"> with column numbers (get errors if columns are shifted) or combine </t>
    </r>
    <r>
      <rPr>
        <sz val="10"/>
        <color theme="1"/>
        <rFont val="Arial Unicode MS"/>
      </rPr>
      <t>INDEX</t>
    </r>
    <r>
      <rPr>
        <sz val="11"/>
        <color theme="1"/>
        <rFont val="Calibri"/>
        <family val="2"/>
        <scheme val="minor"/>
      </rPr>
      <t xml:space="preserve"> and </t>
    </r>
    <r>
      <rPr>
        <sz val="10"/>
        <color theme="1"/>
        <rFont val="Arial Unicode MS"/>
      </rPr>
      <t>MATCH</t>
    </r>
    <r>
      <rPr>
        <sz val="11"/>
        <color theme="1"/>
        <rFont val="Calibri"/>
        <family val="2"/>
        <scheme val="minor"/>
      </rPr>
      <t xml:space="preserve"> (harder for beginners).</t>
    </r>
  </si>
  <si>
    <t>Ans: Replaces old lookup methods (VLOOKUP, HLOOKUP, INDEX+MATCH)</t>
  </si>
  <si>
    <t>Ans: The analysis of delivery performance revealed that not all regions consistently achieve the “Fast Delivery” benchmark of 2 days. To improve this, the company should strengthen logistics partnerships in underperforming regions, optimize warehouse placement, and introduce priority shipping options. Automating order processing can further cut handling times, while tracking product categories with frequent delays (such as bulky goods) can help design specialized workflows. Additionally, timely customer communication during delays will improve satisfaction and reduce cancellations. Overall, focusing on operational efficiency and proactive service will significantly enhance delivery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</si>
</sst>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8">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sz val="10"/>
      <color theme="1"/>
      <name val="Arial Unicode MS"/>
    </font>
    <font>
      <i/>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right"/>
    </xf>
    <xf numFmtId="164" fontId="0" fillId="0" borderId="0" xfId="0" applyNumberFormat="1" applyAlignment="1">
      <alignment horizontal="right"/>
    </xf>
    <xf numFmtId="0" fontId="0" fillId="0" borderId="0" xfId="0" pivotButton="1"/>
    <xf numFmtId="0" fontId="0" fillId="0" borderId="0" xfId="0" applyAlignment="1">
      <alignment horizontal="left"/>
    </xf>
    <xf numFmtId="0" fontId="1" fillId="0" borderId="0" xfId="0" applyFont="1"/>
    <xf numFmtId="0" fontId="2" fillId="0" borderId="0" xfId="0" applyFont="1"/>
    <xf numFmtId="0" fontId="3" fillId="0" borderId="0" xfId="0" applyFont="1" applyAlignment="1">
      <alignment horizontal="right"/>
    </xf>
    <xf numFmtId="165" fontId="4" fillId="0" borderId="0" xfId="0" applyNumberFormat="1" applyFont="1" applyAlignment="1">
      <alignment horizontal="right"/>
    </xf>
    <xf numFmtId="0" fontId="4" fillId="0" borderId="0" xfId="0" applyFont="1" applyAlignment="1">
      <alignment horizontal="right"/>
    </xf>
    <xf numFmtId="10" fontId="4" fillId="0" borderId="0" xfId="0" applyNumberFormat="1" applyFont="1" applyAlignment="1">
      <alignment horizontal="right"/>
    </xf>
    <xf numFmtId="0" fontId="1" fillId="0" borderId="2" xfId="0" applyFont="1" applyBorder="1" applyAlignment="1">
      <alignment vertical="top"/>
    </xf>
    <xf numFmtId="0" fontId="0" fillId="0" borderId="0" xfId="0" applyAlignment="1">
      <alignment horizontal="left" vertical="center" indent="1"/>
    </xf>
    <xf numFmtId="0" fontId="6" fillId="0" borderId="0" xfId="0" applyFont="1" applyAlignment="1">
      <alignment vertical="center"/>
    </xf>
    <xf numFmtId="0" fontId="5" fillId="0" borderId="0" xfId="0" applyFont="1" applyAlignment="1">
      <alignment horizontal="center"/>
    </xf>
    <xf numFmtId="0" fontId="0" fillId="0" borderId="0" xfId="0" applyAlignment="1">
      <alignment horizontal="left" wrapText="1"/>
    </xf>
  </cellXfs>
  <cellStyles count="1">
    <cellStyle name="Normal" xfId="0" builtinId="0"/>
  </cellStyles>
  <dxfs count="82">
    <dxf>
      <alignment horizontal="right" vertical="bottom" textRotation="0" wrapText="0" indent="0" justifyLastLine="0" shrinkToFit="0" readingOrder="0"/>
    </dxf>
    <dxf>
      <alignment horizontal="right"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border outline="0">
        <top style="thin">
          <color auto="1"/>
        </top>
      </border>
    </dxf>
    <dxf>
      <alignment horizontal="right"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border outline="0">
        <top style="thin">
          <color auto="1"/>
        </top>
      </border>
    </dxf>
    <dxf>
      <alignment horizontal="right"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64" formatCode="yyyy\-mm\-dd"/>
      <alignment horizontal="right" vertical="bottom" textRotation="0" wrapText="0" indent="0" justifyLastLine="0" shrinkToFit="0" readingOrder="0"/>
    </dxf>
    <dxf>
      <numFmt numFmtId="164" formatCode="yyyy\-mm\-dd"/>
      <alignment horizontal="right" vertical="bottom" textRotation="0" wrapText="0" indent="0" justifyLastLine="0" shrinkToFit="0" readingOrder="0"/>
    </dxf>
    <dxf>
      <alignment horizontal="right" vertical="bottom" textRotation="0" wrapText="0" indent="0" justifyLastLine="0" shrinkToFit="0" readingOrder="0"/>
    </dxf>
    <dxf>
      <border outline="0">
        <top style="thin">
          <color auto="1"/>
        </top>
      </border>
    </dxf>
    <dxf>
      <alignment horizontal="right"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border diagonalUp="0" diagonalDown="0" outline="0">
        <left style="thin">
          <color auto="1"/>
        </left>
        <right style="thin">
          <color auto="1"/>
        </right>
        <top/>
        <bottom/>
      </bord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s>
  <tableStyles count="0" defaultTableStyle="TableStyleMedium9" defaultPivotStyle="PivotStyleLight16"/>
  <colors>
    <mruColors>
      <color rgb="FFFFCCFF"/>
      <color rgb="FFE95598"/>
      <color rgb="FFED73AA"/>
      <color rgb="FFE32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[Amazon_Workforce_Sales_Data_Analysis.xlsx]PIVOT A!PivotTable1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A'!$B$3:$B$4</c:f>
              <c:strCache>
                <c:ptCount val="1"/>
                <c:pt idx="0">
                  <c:v>Central</c:v>
                </c:pt>
              </c:strCache>
            </c:strRef>
          </c:tx>
          <c:spPr>
            <a:solidFill>
              <a:schemeClr val="accent1"/>
            </a:solidFill>
            <a:ln>
              <a:noFill/>
            </a:ln>
            <a:effectLst/>
          </c:spPr>
          <c:invertIfNegative val="0"/>
          <c:cat>
            <c:strRef>
              <c:f>'PIVOT A'!$A$5:$A$10</c:f>
              <c:strCache>
                <c:ptCount val="5"/>
                <c:pt idx="0">
                  <c:v>Books</c:v>
                </c:pt>
                <c:pt idx="1">
                  <c:v>Electronics</c:v>
                </c:pt>
                <c:pt idx="2">
                  <c:v>Fashion</c:v>
                </c:pt>
                <c:pt idx="3">
                  <c:v>Home</c:v>
                </c:pt>
                <c:pt idx="4">
                  <c:v>Toys</c:v>
                </c:pt>
              </c:strCache>
            </c:strRef>
          </c:cat>
          <c:val>
            <c:numRef>
              <c:f>'PIVOT A'!$B$5:$B$10</c:f>
              <c:numCache>
                <c:formatCode>General</c:formatCode>
                <c:ptCount val="5"/>
                <c:pt idx="0">
                  <c:v>0</c:v>
                </c:pt>
                <c:pt idx="1">
                  <c:v>1606</c:v>
                </c:pt>
                <c:pt idx="2">
                  <c:v>26</c:v>
                </c:pt>
                <c:pt idx="3">
                  <c:v>1378</c:v>
                </c:pt>
                <c:pt idx="4">
                  <c:v>0</c:v>
                </c:pt>
              </c:numCache>
            </c:numRef>
          </c:val>
          <c:extLst>
            <c:ext xmlns:c16="http://schemas.microsoft.com/office/drawing/2014/chart" uri="{C3380CC4-5D6E-409C-BE32-E72D297353CC}">
              <c16:uniqueId val="{00000000-34F0-44C3-8F28-A4BE2E86C0E1}"/>
            </c:ext>
          </c:extLst>
        </c:ser>
        <c:ser>
          <c:idx val="1"/>
          <c:order val="1"/>
          <c:tx>
            <c:strRef>
              <c:f>'PIVOT A'!$C$3:$C$4</c:f>
              <c:strCache>
                <c:ptCount val="1"/>
                <c:pt idx="0">
                  <c:v>East</c:v>
                </c:pt>
              </c:strCache>
            </c:strRef>
          </c:tx>
          <c:spPr>
            <a:solidFill>
              <a:schemeClr val="accent2"/>
            </a:solidFill>
            <a:ln>
              <a:noFill/>
            </a:ln>
            <a:effectLst/>
          </c:spPr>
          <c:invertIfNegative val="0"/>
          <c:cat>
            <c:strRef>
              <c:f>'PIVOT A'!$A$5:$A$10</c:f>
              <c:strCache>
                <c:ptCount val="5"/>
                <c:pt idx="0">
                  <c:v>Books</c:v>
                </c:pt>
                <c:pt idx="1">
                  <c:v>Electronics</c:v>
                </c:pt>
                <c:pt idx="2">
                  <c:v>Fashion</c:v>
                </c:pt>
                <c:pt idx="3">
                  <c:v>Home</c:v>
                </c:pt>
                <c:pt idx="4">
                  <c:v>Toys</c:v>
                </c:pt>
              </c:strCache>
            </c:strRef>
          </c:cat>
          <c:val>
            <c:numRef>
              <c:f>'PIVOT A'!$C$5:$C$10</c:f>
              <c:numCache>
                <c:formatCode>General</c:formatCode>
                <c:ptCount val="5"/>
                <c:pt idx="0">
                  <c:v>63</c:v>
                </c:pt>
                <c:pt idx="1">
                  <c:v>0</c:v>
                </c:pt>
                <c:pt idx="2">
                  <c:v>221</c:v>
                </c:pt>
                <c:pt idx="3">
                  <c:v>630</c:v>
                </c:pt>
                <c:pt idx="4">
                  <c:v>928</c:v>
                </c:pt>
              </c:numCache>
            </c:numRef>
          </c:val>
          <c:extLst>
            <c:ext xmlns:c16="http://schemas.microsoft.com/office/drawing/2014/chart" uri="{C3380CC4-5D6E-409C-BE32-E72D297353CC}">
              <c16:uniqueId val="{00000000-16D5-4235-AB9A-B272FDC32072}"/>
            </c:ext>
          </c:extLst>
        </c:ser>
        <c:ser>
          <c:idx val="2"/>
          <c:order val="2"/>
          <c:tx>
            <c:strRef>
              <c:f>'PIVOT A'!$D$3:$D$4</c:f>
              <c:strCache>
                <c:ptCount val="1"/>
                <c:pt idx="0">
                  <c:v>North</c:v>
                </c:pt>
              </c:strCache>
            </c:strRef>
          </c:tx>
          <c:spPr>
            <a:solidFill>
              <a:schemeClr val="accent3"/>
            </a:solidFill>
            <a:ln>
              <a:noFill/>
            </a:ln>
            <a:effectLst/>
          </c:spPr>
          <c:invertIfNegative val="0"/>
          <c:cat>
            <c:strRef>
              <c:f>'PIVOT A'!$A$5:$A$10</c:f>
              <c:strCache>
                <c:ptCount val="5"/>
                <c:pt idx="0">
                  <c:v>Books</c:v>
                </c:pt>
                <c:pt idx="1">
                  <c:v>Electronics</c:v>
                </c:pt>
                <c:pt idx="2">
                  <c:v>Fashion</c:v>
                </c:pt>
                <c:pt idx="3">
                  <c:v>Home</c:v>
                </c:pt>
                <c:pt idx="4">
                  <c:v>Toys</c:v>
                </c:pt>
              </c:strCache>
            </c:strRef>
          </c:cat>
          <c:val>
            <c:numRef>
              <c:f>'PIVOT A'!$D$5:$D$10</c:f>
              <c:numCache>
                <c:formatCode>General</c:formatCode>
                <c:ptCount val="5"/>
                <c:pt idx="0">
                  <c:v>64</c:v>
                </c:pt>
                <c:pt idx="1">
                  <c:v>3656</c:v>
                </c:pt>
                <c:pt idx="2">
                  <c:v>231</c:v>
                </c:pt>
                <c:pt idx="3">
                  <c:v>0</c:v>
                </c:pt>
                <c:pt idx="4">
                  <c:v>124</c:v>
                </c:pt>
              </c:numCache>
            </c:numRef>
          </c:val>
          <c:extLst>
            <c:ext xmlns:c16="http://schemas.microsoft.com/office/drawing/2014/chart" uri="{C3380CC4-5D6E-409C-BE32-E72D297353CC}">
              <c16:uniqueId val="{00000001-16D5-4235-AB9A-B272FDC32072}"/>
            </c:ext>
          </c:extLst>
        </c:ser>
        <c:ser>
          <c:idx val="3"/>
          <c:order val="3"/>
          <c:tx>
            <c:strRef>
              <c:f>'PIVOT A'!$E$3:$E$4</c:f>
              <c:strCache>
                <c:ptCount val="1"/>
                <c:pt idx="0">
                  <c:v>South</c:v>
                </c:pt>
              </c:strCache>
            </c:strRef>
          </c:tx>
          <c:spPr>
            <a:solidFill>
              <a:schemeClr val="accent4"/>
            </a:solidFill>
            <a:ln>
              <a:noFill/>
            </a:ln>
            <a:effectLst/>
          </c:spPr>
          <c:invertIfNegative val="0"/>
          <c:cat>
            <c:strRef>
              <c:f>'PIVOT A'!$A$5:$A$10</c:f>
              <c:strCache>
                <c:ptCount val="5"/>
                <c:pt idx="0">
                  <c:v>Books</c:v>
                </c:pt>
                <c:pt idx="1">
                  <c:v>Electronics</c:v>
                </c:pt>
                <c:pt idx="2">
                  <c:v>Fashion</c:v>
                </c:pt>
                <c:pt idx="3">
                  <c:v>Home</c:v>
                </c:pt>
                <c:pt idx="4">
                  <c:v>Toys</c:v>
                </c:pt>
              </c:strCache>
            </c:strRef>
          </c:cat>
          <c:val>
            <c:numRef>
              <c:f>'PIVOT A'!$E$5:$E$10</c:f>
              <c:numCache>
                <c:formatCode>General</c:formatCode>
                <c:ptCount val="5"/>
                <c:pt idx="0">
                  <c:v>0</c:v>
                </c:pt>
                <c:pt idx="1">
                  <c:v>172</c:v>
                </c:pt>
                <c:pt idx="2">
                  <c:v>418</c:v>
                </c:pt>
                <c:pt idx="3">
                  <c:v>430</c:v>
                </c:pt>
                <c:pt idx="4">
                  <c:v>43</c:v>
                </c:pt>
              </c:numCache>
            </c:numRef>
          </c:val>
          <c:extLst>
            <c:ext xmlns:c16="http://schemas.microsoft.com/office/drawing/2014/chart" uri="{C3380CC4-5D6E-409C-BE32-E72D297353CC}">
              <c16:uniqueId val="{00000002-16D5-4235-AB9A-B272FDC32072}"/>
            </c:ext>
          </c:extLst>
        </c:ser>
        <c:ser>
          <c:idx val="4"/>
          <c:order val="4"/>
          <c:tx>
            <c:strRef>
              <c:f>'PIVOT A'!$F$3:$F$4</c:f>
              <c:strCache>
                <c:ptCount val="1"/>
                <c:pt idx="0">
                  <c:v>West</c:v>
                </c:pt>
              </c:strCache>
            </c:strRef>
          </c:tx>
          <c:spPr>
            <a:solidFill>
              <a:schemeClr val="accent5"/>
            </a:solidFill>
            <a:ln>
              <a:noFill/>
            </a:ln>
            <a:effectLst/>
          </c:spPr>
          <c:invertIfNegative val="0"/>
          <c:cat>
            <c:strRef>
              <c:f>'PIVOT A'!$A$5:$A$10</c:f>
              <c:strCache>
                <c:ptCount val="5"/>
                <c:pt idx="0">
                  <c:v>Books</c:v>
                </c:pt>
                <c:pt idx="1">
                  <c:v>Electronics</c:v>
                </c:pt>
                <c:pt idx="2">
                  <c:v>Fashion</c:v>
                </c:pt>
                <c:pt idx="3">
                  <c:v>Home</c:v>
                </c:pt>
                <c:pt idx="4">
                  <c:v>Toys</c:v>
                </c:pt>
              </c:strCache>
            </c:strRef>
          </c:cat>
          <c:val>
            <c:numRef>
              <c:f>'PIVOT A'!$F$5:$F$10</c:f>
              <c:numCache>
                <c:formatCode>General</c:formatCode>
                <c:ptCount val="5"/>
                <c:pt idx="0">
                  <c:v>0</c:v>
                </c:pt>
                <c:pt idx="1">
                  <c:v>692</c:v>
                </c:pt>
                <c:pt idx="2">
                  <c:v>480</c:v>
                </c:pt>
                <c:pt idx="3">
                  <c:v>1765</c:v>
                </c:pt>
                <c:pt idx="4">
                  <c:v>729</c:v>
                </c:pt>
              </c:numCache>
            </c:numRef>
          </c:val>
          <c:extLst>
            <c:ext xmlns:c16="http://schemas.microsoft.com/office/drawing/2014/chart" uri="{C3380CC4-5D6E-409C-BE32-E72D297353CC}">
              <c16:uniqueId val="{00000003-16D5-4235-AB9A-B272FDC32072}"/>
            </c:ext>
          </c:extLst>
        </c:ser>
        <c:dLbls>
          <c:showLegendKey val="0"/>
          <c:showVal val="0"/>
          <c:showCatName val="0"/>
          <c:showSerName val="0"/>
          <c:showPercent val="0"/>
          <c:showBubbleSize val="0"/>
        </c:dLbls>
        <c:gapWidth val="219"/>
        <c:overlap val="-27"/>
        <c:axId val="1807937152"/>
        <c:axId val="1807937632"/>
      </c:barChart>
      <c:catAx>
        <c:axId val="180793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937632"/>
        <c:crosses val="autoZero"/>
        <c:auto val="1"/>
        <c:lblAlgn val="ctr"/>
        <c:lblOffset val="100"/>
        <c:noMultiLvlLbl val="0"/>
      </c:catAx>
      <c:valAx>
        <c:axId val="180793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9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[Amazon_Workforce_Sales_Data_Analysis.xlsx]PIVOT B!PivotTable1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B'!$B$1:$B$2</c:f>
              <c:strCache>
                <c:ptCount val="1"/>
                <c:pt idx="0">
                  <c:v>Fast</c:v>
                </c:pt>
              </c:strCache>
            </c:strRef>
          </c:tx>
          <c:spPr>
            <a:solidFill>
              <a:schemeClr val="accent1"/>
            </a:solidFill>
            <a:ln>
              <a:noFill/>
            </a:ln>
            <a:effectLst/>
          </c:spPr>
          <c:invertIfNegative val="0"/>
          <c:cat>
            <c:strRef>
              <c:f>'PIVOT B'!$A$3</c:f>
              <c:strCache>
                <c:ptCount val="1"/>
                <c:pt idx="0">
                  <c:v>Total</c:v>
                </c:pt>
              </c:strCache>
            </c:strRef>
          </c:cat>
          <c:val>
            <c:numRef>
              <c:f>'PIVOT B'!$B$3</c:f>
              <c:numCache>
                <c:formatCode>General</c:formatCode>
                <c:ptCount val="1"/>
                <c:pt idx="0">
                  <c:v>11</c:v>
                </c:pt>
              </c:numCache>
            </c:numRef>
          </c:val>
          <c:extLst>
            <c:ext xmlns:c16="http://schemas.microsoft.com/office/drawing/2014/chart" uri="{C3380CC4-5D6E-409C-BE32-E72D297353CC}">
              <c16:uniqueId val="{00000000-9947-4E80-B26F-DB4BF42C1737}"/>
            </c:ext>
          </c:extLst>
        </c:ser>
        <c:ser>
          <c:idx val="1"/>
          <c:order val="1"/>
          <c:tx>
            <c:strRef>
              <c:f>'PIVOT B'!$C$1:$C$2</c:f>
              <c:strCache>
                <c:ptCount val="1"/>
                <c:pt idx="0">
                  <c:v>nan</c:v>
                </c:pt>
              </c:strCache>
            </c:strRef>
          </c:tx>
          <c:spPr>
            <a:solidFill>
              <a:schemeClr val="accent2"/>
            </a:solidFill>
            <a:ln>
              <a:noFill/>
            </a:ln>
            <a:effectLst/>
          </c:spPr>
          <c:invertIfNegative val="0"/>
          <c:cat>
            <c:strRef>
              <c:f>'PIVOT B'!$A$3</c:f>
              <c:strCache>
                <c:ptCount val="1"/>
                <c:pt idx="0">
                  <c:v>Total</c:v>
                </c:pt>
              </c:strCache>
            </c:strRef>
          </c:cat>
          <c:val>
            <c:numRef>
              <c:f>'PIVOT B'!$C$3</c:f>
              <c:numCache>
                <c:formatCode>General</c:formatCode>
                <c:ptCount val="1"/>
                <c:pt idx="0">
                  <c:v>66</c:v>
                </c:pt>
              </c:numCache>
            </c:numRef>
          </c:val>
          <c:extLst>
            <c:ext xmlns:c16="http://schemas.microsoft.com/office/drawing/2014/chart" uri="{C3380CC4-5D6E-409C-BE32-E72D297353CC}">
              <c16:uniqueId val="{00000000-CB68-4E1C-9C2D-87B0F0D15165}"/>
            </c:ext>
          </c:extLst>
        </c:ser>
        <c:ser>
          <c:idx val="2"/>
          <c:order val="2"/>
          <c:tx>
            <c:strRef>
              <c:f>'PIVOT B'!$D$1:$D$2</c:f>
              <c:strCache>
                <c:ptCount val="1"/>
                <c:pt idx="0">
                  <c:v>Slow</c:v>
                </c:pt>
              </c:strCache>
            </c:strRef>
          </c:tx>
          <c:spPr>
            <a:solidFill>
              <a:schemeClr val="accent3"/>
            </a:solidFill>
            <a:ln>
              <a:noFill/>
            </a:ln>
            <a:effectLst/>
          </c:spPr>
          <c:invertIfNegative val="0"/>
          <c:cat>
            <c:strRef>
              <c:f>'PIVOT B'!$A$3</c:f>
              <c:strCache>
                <c:ptCount val="1"/>
                <c:pt idx="0">
                  <c:v>Total</c:v>
                </c:pt>
              </c:strCache>
            </c:strRef>
          </c:cat>
          <c:val>
            <c:numRef>
              <c:f>'PIVOT B'!$D$3</c:f>
              <c:numCache>
                <c:formatCode>General</c:formatCode>
                <c:ptCount val="1"/>
                <c:pt idx="0">
                  <c:v>23</c:v>
                </c:pt>
              </c:numCache>
            </c:numRef>
          </c:val>
          <c:extLst>
            <c:ext xmlns:c16="http://schemas.microsoft.com/office/drawing/2014/chart" uri="{C3380CC4-5D6E-409C-BE32-E72D297353CC}">
              <c16:uniqueId val="{00000001-CB68-4E1C-9C2D-87B0F0D15165}"/>
            </c:ext>
          </c:extLst>
        </c:ser>
        <c:dLbls>
          <c:showLegendKey val="0"/>
          <c:showVal val="0"/>
          <c:showCatName val="0"/>
          <c:showSerName val="0"/>
          <c:showPercent val="0"/>
          <c:showBubbleSize val="0"/>
        </c:dLbls>
        <c:gapWidth val="219"/>
        <c:overlap val="-27"/>
        <c:axId val="477340911"/>
        <c:axId val="477341871"/>
      </c:barChart>
      <c:catAx>
        <c:axId val="47734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41871"/>
        <c:crosses val="autoZero"/>
        <c:auto val="1"/>
        <c:lblAlgn val="ctr"/>
        <c:lblOffset val="100"/>
        <c:noMultiLvlLbl val="0"/>
      </c:catAx>
      <c:valAx>
        <c:axId val="47734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[Amazon_Workforce_Sales_Data_Analysis.xlsx]PIVOT C!PivotTable2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C'!$B$4:$B$5</c:f>
              <c:strCache>
                <c:ptCount val="1"/>
                <c:pt idx="0">
                  <c:v>Central</c:v>
                </c:pt>
              </c:strCache>
            </c:strRef>
          </c:tx>
          <c:spPr>
            <a:solidFill>
              <a:schemeClr val="accent1"/>
            </a:solidFill>
            <a:ln>
              <a:noFill/>
            </a:ln>
            <a:effectLst/>
          </c:spPr>
          <c:invertIfNegative val="0"/>
          <c:cat>
            <c:strRef>
              <c:f>'PIVOT C'!$A$6</c:f>
              <c:strCache>
                <c:ptCount val="1"/>
                <c:pt idx="0">
                  <c:v>Total</c:v>
                </c:pt>
              </c:strCache>
            </c:strRef>
          </c:cat>
          <c:val>
            <c:numRef>
              <c:f>'PIVOT C'!$B$6</c:f>
              <c:numCache>
                <c:formatCode>General</c:formatCode>
                <c:ptCount val="1"/>
                <c:pt idx="0">
                  <c:v>4.2</c:v>
                </c:pt>
              </c:numCache>
            </c:numRef>
          </c:val>
          <c:extLst>
            <c:ext xmlns:c16="http://schemas.microsoft.com/office/drawing/2014/chart" uri="{C3380CC4-5D6E-409C-BE32-E72D297353CC}">
              <c16:uniqueId val="{00000000-3328-434C-B78A-9B89C162D030}"/>
            </c:ext>
          </c:extLst>
        </c:ser>
        <c:ser>
          <c:idx val="1"/>
          <c:order val="1"/>
          <c:tx>
            <c:strRef>
              <c:f>'PIVOT C'!$C$4:$C$5</c:f>
              <c:strCache>
                <c:ptCount val="1"/>
                <c:pt idx="0">
                  <c:v>East</c:v>
                </c:pt>
              </c:strCache>
            </c:strRef>
          </c:tx>
          <c:spPr>
            <a:solidFill>
              <a:schemeClr val="accent2"/>
            </a:solidFill>
            <a:ln>
              <a:noFill/>
            </a:ln>
            <a:effectLst/>
          </c:spPr>
          <c:invertIfNegative val="0"/>
          <c:cat>
            <c:strRef>
              <c:f>'PIVOT C'!$A$6</c:f>
              <c:strCache>
                <c:ptCount val="1"/>
                <c:pt idx="0">
                  <c:v>Total</c:v>
                </c:pt>
              </c:strCache>
            </c:strRef>
          </c:cat>
          <c:val>
            <c:numRef>
              <c:f>'PIVOT C'!$C$6</c:f>
              <c:numCache>
                <c:formatCode>General</c:formatCode>
                <c:ptCount val="1"/>
                <c:pt idx="0">
                  <c:v>4.25</c:v>
                </c:pt>
              </c:numCache>
            </c:numRef>
          </c:val>
          <c:extLst>
            <c:ext xmlns:c16="http://schemas.microsoft.com/office/drawing/2014/chart" uri="{C3380CC4-5D6E-409C-BE32-E72D297353CC}">
              <c16:uniqueId val="{00000000-B9D0-4C2B-AC3D-DB05E4CE06E7}"/>
            </c:ext>
          </c:extLst>
        </c:ser>
        <c:ser>
          <c:idx val="2"/>
          <c:order val="2"/>
          <c:tx>
            <c:strRef>
              <c:f>'PIVOT C'!$D$4:$D$5</c:f>
              <c:strCache>
                <c:ptCount val="1"/>
                <c:pt idx="0">
                  <c:v>North</c:v>
                </c:pt>
              </c:strCache>
            </c:strRef>
          </c:tx>
          <c:spPr>
            <a:solidFill>
              <a:schemeClr val="accent3"/>
            </a:solidFill>
            <a:ln>
              <a:noFill/>
            </a:ln>
            <a:effectLst/>
          </c:spPr>
          <c:invertIfNegative val="0"/>
          <c:cat>
            <c:strRef>
              <c:f>'PIVOT C'!$A$6</c:f>
              <c:strCache>
                <c:ptCount val="1"/>
                <c:pt idx="0">
                  <c:v>Total</c:v>
                </c:pt>
              </c:strCache>
            </c:strRef>
          </c:cat>
          <c:val>
            <c:numRef>
              <c:f>'PIVOT C'!$D$6</c:f>
              <c:numCache>
                <c:formatCode>General</c:formatCode>
                <c:ptCount val="1"/>
                <c:pt idx="0">
                  <c:v>3.625</c:v>
                </c:pt>
              </c:numCache>
            </c:numRef>
          </c:val>
          <c:extLst>
            <c:ext xmlns:c16="http://schemas.microsoft.com/office/drawing/2014/chart" uri="{C3380CC4-5D6E-409C-BE32-E72D297353CC}">
              <c16:uniqueId val="{00000001-B9D0-4C2B-AC3D-DB05E4CE06E7}"/>
            </c:ext>
          </c:extLst>
        </c:ser>
        <c:ser>
          <c:idx val="3"/>
          <c:order val="3"/>
          <c:tx>
            <c:strRef>
              <c:f>'PIVOT C'!$E$4:$E$5</c:f>
              <c:strCache>
                <c:ptCount val="1"/>
                <c:pt idx="0">
                  <c:v>South</c:v>
                </c:pt>
              </c:strCache>
            </c:strRef>
          </c:tx>
          <c:spPr>
            <a:solidFill>
              <a:schemeClr val="accent4"/>
            </a:solidFill>
            <a:ln>
              <a:noFill/>
            </a:ln>
            <a:effectLst/>
          </c:spPr>
          <c:invertIfNegative val="0"/>
          <c:cat>
            <c:strRef>
              <c:f>'PIVOT C'!$A$6</c:f>
              <c:strCache>
                <c:ptCount val="1"/>
                <c:pt idx="0">
                  <c:v>Total</c:v>
                </c:pt>
              </c:strCache>
            </c:strRef>
          </c:cat>
          <c:val>
            <c:numRef>
              <c:f>'PIVOT C'!$E$6</c:f>
              <c:numCache>
                <c:formatCode>General</c:formatCode>
                <c:ptCount val="1"/>
                <c:pt idx="0">
                  <c:v>3.3333333333333335</c:v>
                </c:pt>
              </c:numCache>
            </c:numRef>
          </c:val>
          <c:extLst>
            <c:ext xmlns:c16="http://schemas.microsoft.com/office/drawing/2014/chart" uri="{C3380CC4-5D6E-409C-BE32-E72D297353CC}">
              <c16:uniqueId val="{00000002-B9D0-4C2B-AC3D-DB05E4CE06E7}"/>
            </c:ext>
          </c:extLst>
        </c:ser>
        <c:ser>
          <c:idx val="4"/>
          <c:order val="4"/>
          <c:tx>
            <c:strRef>
              <c:f>'PIVOT C'!$F$4:$F$5</c:f>
              <c:strCache>
                <c:ptCount val="1"/>
                <c:pt idx="0">
                  <c:v>West</c:v>
                </c:pt>
              </c:strCache>
            </c:strRef>
          </c:tx>
          <c:spPr>
            <a:solidFill>
              <a:schemeClr val="accent5"/>
            </a:solidFill>
            <a:ln>
              <a:noFill/>
            </a:ln>
            <a:effectLst/>
          </c:spPr>
          <c:invertIfNegative val="0"/>
          <c:cat>
            <c:strRef>
              <c:f>'PIVOT C'!$A$6</c:f>
              <c:strCache>
                <c:ptCount val="1"/>
                <c:pt idx="0">
                  <c:v>Total</c:v>
                </c:pt>
              </c:strCache>
            </c:strRef>
          </c:cat>
          <c:val>
            <c:numRef>
              <c:f>'PIVOT C'!$F$6</c:f>
              <c:numCache>
                <c:formatCode>General</c:formatCode>
                <c:ptCount val="1"/>
                <c:pt idx="0">
                  <c:v>3.4285714285714284</c:v>
                </c:pt>
              </c:numCache>
            </c:numRef>
          </c:val>
          <c:extLst>
            <c:ext xmlns:c16="http://schemas.microsoft.com/office/drawing/2014/chart" uri="{C3380CC4-5D6E-409C-BE32-E72D297353CC}">
              <c16:uniqueId val="{00000003-B9D0-4C2B-AC3D-DB05E4CE06E7}"/>
            </c:ext>
          </c:extLst>
        </c:ser>
        <c:dLbls>
          <c:showLegendKey val="0"/>
          <c:showVal val="0"/>
          <c:showCatName val="0"/>
          <c:showSerName val="0"/>
          <c:showPercent val="0"/>
          <c:showBubbleSize val="0"/>
        </c:dLbls>
        <c:gapWidth val="219"/>
        <c:overlap val="-27"/>
        <c:axId val="477287007"/>
        <c:axId val="477282207"/>
      </c:barChart>
      <c:catAx>
        <c:axId val="47728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82207"/>
        <c:crosses val="autoZero"/>
        <c:auto val="1"/>
        <c:lblAlgn val="ctr"/>
        <c:lblOffset val="100"/>
        <c:noMultiLvlLbl val="0"/>
      </c:catAx>
      <c:valAx>
        <c:axId val="47728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8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[Amazon_Workforce_Sales_Data_Analysis.xlsx]KPI_Pivots!PivotTable1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KPI_Pivots!$A$1</c:f>
              <c:strCache>
                <c:ptCount val="1"/>
                <c:pt idx="0">
                  <c:v>Total</c:v>
                </c:pt>
              </c:strCache>
            </c:strRef>
          </c:tx>
          <c:spPr>
            <a:solidFill>
              <a:schemeClr val="accent1"/>
            </a:solidFill>
            <a:ln>
              <a:noFill/>
            </a:ln>
            <a:effectLst/>
          </c:spPr>
          <c:invertIfNegative val="0"/>
          <c:cat>
            <c:strRef>
              <c:f>KPI_Pivots!$A$2</c:f>
              <c:strCache>
                <c:ptCount val="1"/>
                <c:pt idx="0">
                  <c:v>Total</c:v>
                </c:pt>
              </c:strCache>
            </c:strRef>
          </c:cat>
          <c:val>
            <c:numRef>
              <c:f>KPI_Pivots!$A$2</c:f>
              <c:numCache>
                <c:formatCode>General</c:formatCode>
                <c:ptCount val="1"/>
                <c:pt idx="0">
                  <c:v>13656</c:v>
                </c:pt>
              </c:numCache>
            </c:numRef>
          </c:val>
          <c:extLst>
            <c:ext xmlns:c16="http://schemas.microsoft.com/office/drawing/2014/chart" uri="{C3380CC4-5D6E-409C-BE32-E72D297353CC}">
              <c16:uniqueId val="{00000000-F2FF-4922-BFE8-2E8E8060365F}"/>
            </c:ext>
          </c:extLst>
        </c:ser>
        <c:dLbls>
          <c:showLegendKey val="0"/>
          <c:showVal val="0"/>
          <c:showCatName val="0"/>
          <c:showSerName val="0"/>
          <c:showPercent val="0"/>
          <c:showBubbleSize val="0"/>
        </c:dLbls>
        <c:gapWidth val="219"/>
        <c:overlap val="-27"/>
        <c:axId val="1317985040"/>
        <c:axId val="1317971120"/>
      </c:barChart>
      <c:catAx>
        <c:axId val="13179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71120"/>
        <c:crosses val="autoZero"/>
        <c:auto val="1"/>
        <c:lblAlgn val="ctr"/>
        <c:lblOffset val="100"/>
        <c:noMultiLvlLbl val="0"/>
      </c:catAx>
      <c:valAx>
        <c:axId val="131797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8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[Amazon_Workforce_Sales_Data_Analysis.xlsx]KPI_Pivots!PivotTable2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KPI_Pivots!$B$25:$B$26</c:f>
              <c:strCache>
                <c:ptCount val="1"/>
                <c:pt idx="0">
                  <c:v>Fast</c:v>
                </c:pt>
              </c:strCache>
            </c:strRef>
          </c:tx>
          <c:spPr>
            <a:solidFill>
              <a:schemeClr val="accent1"/>
            </a:solidFill>
            <a:ln>
              <a:noFill/>
            </a:ln>
            <a:effectLst/>
          </c:spPr>
          <c:invertIfNegative val="0"/>
          <c:cat>
            <c:strRef>
              <c:f>KPI_Pivots!$A$27</c:f>
              <c:strCache>
                <c:ptCount val="1"/>
                <c:pt idx="0">
                  <c:v>Total</c:v>
                </c:pt>
              </c:strCache>
            </c:strRef>
          </c:cat>
          <c:val>
            <c:numRef>
              <c:f>KPI_Pivots!$B$27</c:f>
              <c:numCache>
                <c:formatCode>General</c:formatCode>
                <c:ptCount val="1"/>
                <c:pt idx="0">
                  <c:v>11</c:v>
                </c:pt>
              </c:numCache>
            </c:numRef>
          </c:val>
          <c:extLst>
            <c:ext xmlns:c16="http://schemas.microsoft.com/office/drawing/2014/chart" uri="{C3380CC4-5D6E-409C-BE32-E72D297353CC}">
              <c16:uniqueId val="{00000000-CC44-496C-8899-7178C68F640C}"/>
            </c:ext>
          </c:extLst>
        </c:ser>
        <c:ser>
          <c:idx val="1"/>
          <c:order val="1"/>
          <c:tx>
            <c:strRef>
              <c:f>KPI_Pivots!$C$25:$C$26</c:f>
              <c:strCache>
                <c:ptCount val="1"/>
                <c:pt idx="0">
                  <c:v>nan</c:v>
                </c:pt>
              </c:strCache>
            </c:strRef>
          </c:tx>
          <c:spPr>
            <a:solidFill>
              <a:schemeClr val="accent2"/>
            </a:solidFill>
            <a:ln>
              <a:noFill/>
            </a:ln>
            <a:effectLst/>
          </c:spPr>
          <c:invertIfNegative val="0"/>
          <c:cat>
            <c:strRef>
              <c:f>KPI_Pivots!$A$27</c:f>
              <c:strCache>
                <c:ptCount val="1"/>
                <c:pt idx="0">
                  <c:v>Total</c:v>
                </c:pt>
              </c:strCache>
            </c:strRef>
          </c:cat>
          <c:val>
            <c:numRef>
              <c:f>KPI_Pivots!$C$27</c:f>
              <c:numCache>
                <c:formatCode>General</c:formatCode>
                <c:ptCount val="1"/>
                <c:pt idx="0">
                  <c:v>66</c:v>
                </c:pt>
              </c:numCache>
            </c:numRef>
          </c:val>
          <c:extLst>
            <c:ext xmlns:c16="http://schemas.microsoft.com/office/drawing/2014/chart" uri="{C3380CC4-5D6E-409C-BE32-E72D297353CC}">
              <c16:uniqueId val="{00000001-CC44-496C-8899-7178C68F640C}"/>
            </c:ext>
          </c:extLst>
        </c:ser>
        <c:ser>
          <c:idx val="2"/>
          <c:order val="2"/>
          <c:tx>
            <c:strRef>
              <c:f>KPI_Pivots!$D$25:$D$26</c:f>
              <c:strCache>
                <c:ptCount val="1"/>
                <c:pt idx="0">
                  <c:v>Slow</c:v>
                </c:pt>
              </c:strCache>
            </c:strRef>
          </c:tx>
          <c:spPr>
            <a:solidFill>
              <a:schemeClr val="accent3"/>
            </a:solidFill>
            <a:ln>
              <a:noFill/>
            </a:ln>
            <a:effectLst/>
          </c:spPr>
          <c:invertIfNegative val="0"/>
          <c:cat>
            <c:strRef>
              <c:f>KPI_Pivots!$A$27</c:f>
              <c:strCache>
                <c:ptCount val="1"/>
                <c:pt idx="0">
                  <c:v>Total</c:v>
                </c:pt>
              </c:strCache>
            </c:strRef>
          </c:cat>
          <c:val>
            <c:numRef>
              <c:f>KPI_Pivots!$D$27</c:f>
              <c:numCache>
                <c:formatCode>General</c:formatCode>
                <c:ptCount val="1"/>
                <c:pt idx="0">
                  <c:v>23</c:v>
                </c:pt>
              </c:numCache>
            </c:numRef>
          </c:val>
          <c:extLst>
            <c:ext xmlns:c16="http://schemas.microsoft.com/office/drawing/2014/chart" uri="{C3380CC4-5D6E-409C-BE32-E72D297353CC}">
              <c16:uniqueId val="{00000002-CC44-496C-8899-7178C68F640C}"/>
            </c:ext>
          </c:extLst>
        </c:ser>
        <c:dLbls>
          <c:showLegendKey val="0"/>
          <c:showVal val="0"/>
          <c:showCatName val="0"/>
          <c:showSerName val="0"/>
          <c:showPercent val="0"/>
          <c:showBubbleSize val="0"/>
        </c:dLbls>
        <c:gapWidth val="219"/>
        <c:overlap val="-27"/>
        <c:axId val="1317969200"/>
        <c:axId val="1317976400"/>
      </c:barChart>
      <c:catAx>
        <c:axId val="13179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76400"/>
        <c:crosses val="autoZero"/>
        <c:auto val="1"/>
        <c:lblAlgn val="ctr"/>
        <c:lblOffset val="100"/>
        <c:noMultiLvlLbl val="0"/>
      </c:catAx>
      <c:valAx>
        <c:axId val="131797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6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[Amazon_Workforce_Sales_Data_Analysis.xlsx]KPI_Pivots!PivotTable3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KPI_Pivots!$B$50:$B$51</c:f>
              <c:strCache>
                <c:ptCount val="1"/>
                <c:pt idx="0">
                  <c:v>North</c:v>
                </c:pt>
              </c:strCache>
            </c:strRef>
          </c:tx>
          <c:spPr>
            <a:solidFill>
              <a:schemeClr val="accent1"/>
            </a:solidFill>
            <a:ln>
              <a:noFill/>
            </a:ln>
            <a:effectLst/>
          </c:spPr>
          <c:invertIfNegative val="0"/>
          <c:cat>
            <c:strRef>
              <c:f>KPI_Pivots!$A$52</c:f>
              <c:strCache>
                <c:ptCount val="1"/>
                <c:pt idx="0">
                  <c:v>Total</c:v>
                </c:pt>
              </c:strCache>
            </c:strRef>
          </c:cat>
          <c:val>
            <c:numRef>
              <c:f>KPI_Pivots!$B$52</c:f>
              <c:numCache>
                <c:formatCode>General</c:formatCode>
                <c:ptCount val="1"/>
                <c:pt idx="0">
                  <c:v>4075</c:v>
                </c:pt>
              </c:numCache>
            </c:numRef>
          </c:val>
          <c:extLst>
            <c:ext xmlns:c16="http://schemas.microsoft.com/office/drawing/2014/chart" uri="{C3380CC4-5D6E-409C-BE32-E72D297353CC}">
              <c16:uniqueId val="{00000000-1440-4D41-8A75-656557C2E27C}"/>
            </c:ext>
          </c:extLst>
        </c:ser>
        <c:ser>
          <c:idx val="1"/>
          <c:order val="1"/>
          <c:tx>
            <c:strRef>
              <c:f>KPI_Pivots!$C$50:$C$51</c:f>
              <c:strCache>
                <c:ptCount val="1"/>
                <c:pt idx="0">
                  <c:v>West</c:v>
                </c:pt>
              </c:strCache>
            </c:strRef>
          </c:tx>
          <c:spPr>
            <a:solidFill>
              <a:schemeClr val="accent2"/>
            </a:solidFill>
            <a:ln>
              <a:noFill/>
            </a:ln>
            <a:effectLst/>
          </c:spPr>
          <c:invertIfNegative val="0"/>
          <c:cat>
            <c:strRef>
              <c:f>KPI_Pivots!$A$52</c:f>
              <c:strCache>
                <c:ptCount val="1"/>
                <c:pt idx="0">
                  <c:v>Total</c:v>
                </c:pt>
              </c:strCache>
            </c:strRef>
          </c:cat>
          <c:val>
            <c:numRef>
              <c:f>KPI_Pivots!$C$52</c:f>
              <c:numCache>
                <c:formatCode>General</c:formatCode>
                <c:ptCount val="1"/>
                <c:pt idx="0">
                  <c:v>3666</c:v>
                </c:pt>
              </c:numCache>
            </c:numRef>
          </c:val>
          <c:extLst>
            <c:ext xmlns:c16="http://schemas.microsoft.com/office/drawing/2014/chart" uri="{C3380CC4-5D6E-409C-BE32-E72D297353CC}">
              <c16:uniqueId val="{00000001-1440-4D41-8A75-656557C2E27C}"/>
            </c:ext>
          </c:extLst>
        </c:ser>
        <c:ser>
          <c:idx val="2"/>
          <c:order val="2"/>
          <c:tx>
            <c:strRef>
              <c:f>KPI_Pivots!$D$50:$D$51</c:f>
              <c:strCache>
                <c:ptCount val="1"/>
                <c:pt idx="0">
                  <c:v>Central</c:v>
                </c:pt>
              </c:strCache>
            </c:strRef>
          </c:tx>
          <c:spPr>
            <a:solidFill>
              <a:schemeClr val="accent3"/>
            </a:solidFill>
            <a:ln>
              <a:noFill/>
            </a:ln>
            <a:effectLst/>
          </c:spPr>
          <c:invertIfNegative val="0"/>
          <c:cat>
            <c:strRef>
              <c:f>KPI_Pivots!$A$52</c:f>
              <c:strCache>
                <c:ptCount val="1"/>
                <c:pt idx="0">
                  <c:v>Total</c:v>
                </c:pt>
              </c:strCache>
            </c:strRef>
          </c:cat>
          <c:val>
            <c:numRef>
              <c:f>KPI_Pivots!$D$52</c:f>
              <c:numCache>
                <c:formatCode>General</c:formatCode>
                <c:ptCount val="1"/>
                <c:pt idx="0">
                  <c:v>3010</c:v>
                </c:pt>
              </c:numCache>
            </c:numRef>
          </c:val>
          <c:extLst>
            <c:ext xmlns:c16="http://schemas.microsoft.com/office/drawing/2014/chart" uri="{C3380CC4-5D6E-409C-BE32-E72D297353CC}">
              <c16:uniqueId val="{00000002-1440-4D41-8A75-656557C2E27C}"/>
            </c:ext>
          </c:extLst>
        </c:ser>
        <c:ser>
          <c:idx val="3"/>
          <c:order val="3"/>
          <c:tx>
            <c:strRef>
              <c:f>KPI_Pivots!$E$50:$E$51</c:f>
              <c:strCache>
                <c:ptCount val="1"/>
                <c:pt idx="0">
                  <c:v>East</c:v>
                </c:pt>
              </c:strCache>
            </c:strRef>
          </c:tx>
          <c:spPr>
            <a:solidFill>
              <a:schemeClr val="accent4"/>
            </a:solidFill>
            <a:ln>
              <a:noFill/>
            </a:ln>
            <a:effectLst/>
          </c:spPr>
          <c:invertIfNegative val="0"/>
          <c:cat>
            <c:strRef>
              <c:f>KPI_Pivots!$A$52</c:f>
              <c:strCache>
                <c:ptCount val="1"/>
                <c:pt idx="0">
                  <c:v>Total</c:v>
                </c:pt>
              </c:strCache>
            </c:strRef>
          </c:cat>
          <c:val>
            <c:numRef>
              <c:f>KPI_Pivots!$E$52</c:f>
              <c:numCache>
                <c:formatCode>General</c:formatCode>
                <c:ptCount val="1"/>
                <c:pt idx="0">
                  <c:v>1842</c:v>
                </c:pt>
              </c:numCache>
            </c:numRef>
          </c:val>
          <c:extLst>
            <c:ext xmlns:c16="http://schemas.microsoft.com/office/drawing/2014/chart" uri="{C3380CC4-5D6E-409C-BE32-E72D297353CC}">
              <c16:uniqueId val="{00000003-1440-4D41-8A75-656557C2E27C}"/>
            </c:ext>
          </c:extLst>
        </c:ser>
        <c:ser>
          <c:idx val="4"/>
          <c:order val="4"/>
          <c:tx>
            <c:strRef>
              <c:f>KPI_Pivots!$F$50:$F$51</c:f>
              <c:strCache>
                <c:ptCount val="1"/>
                <c:pt idx="0">
                  <c:v>South</c:v>
                </c:pt>
              </c:strCache>
            </c:strRef>
          </c:tx>
          <c:spPr>
            <a:solidFill>
              <a:schemeClr val="accent5"/>
            </a:solidFill>
            <a:ln>
              <a:noFill/>
            </a:ln>
            <a:effectLst/>
          </c:spPr>
          <c:invertIfNegative val="0"/>
          <c:cat>
            <c:strRef>
              <c:f>KPI_Pivots!$A$52</c:f>
              <c:strCache>
                <c:ptCount val="1"/>
                <c:pt idx="0">
                  <c:v>Total</c:v>
                </c:pt>
              </c:strCache>
            </c:strRef>
          </c:cat>
          <c:val>
            <c:numRef>
              <c:f>KPI_Pivots!$F$52</c:f>
              <c:numCache>
                <c:formatCode>General</c:formatCode>
                <c:ptCount val="1"/>
                <c:pt idx="0">
                  <c:v>1063</c:v>
                </c:pt>
              </c:numCache>
            </c:numRef>
          </c:val>
          <c:extLst>
            <c:ext xmlns:c16="http://schemas.microsoft.com/office/drawing/2014/chart" uri="{C3380CC4-5D6E-409C-BE32-E72D297353CC}">
              <c16:uniqueId val="{00000004-1440-4D41-8A75-656557C2E27C}"/>
            </c:ext>
          </c:extLst>
        </c:ser>
        <c:dLbls>
          <c:showLegendKey val="0"/>
          <c:showVal val="0"/>
          <c:showCatName val="0"/>
          <c:showSerName val="0"/>
          <c:showPercent val="0"/>
          <c:showBubbleSize val="0"/>
        </c:dLbls>
        <c:gapWidth val="219"/>
        <c:overlap val="-27"/>
        <c:axId val="1317998960"/>
        <c:axId val="1317991760"/>
      </c:barChart>
      <c:catAx>
        <c:axId val="131799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91760"/>
        <c:crosses val="autoZero"/>
        <c:auto val="1"/>
        <c:lblAlgn val="ctr"/>
        <c:lblOffset val="100"/>
        <c:noMultiLvlLbl val="0"/>
      </c:catAx>
      <c:valAx>
        <c:axId val="13179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9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[Amazon_Workforce_Sales_Data_Analysis.xlsx]KPI_Pivots!PivotTable4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KPI_Pivots!$B$71:$B$72</c:f>
              <c:strCache>
                <c:ptCount val="1"/>
                <c:pt idx="0">
                  <c:v>Smartphone</c:v>
                </c:pt>
              </c:strCache>
            </c:strRef>
          </c:tx>
          <c:spPr>
            <a:solidFill>
              <a:schemeClr val="accent1"/>
            </a:solidFill>
            <a:ln>
              <a:noFill/>
            </a:ln>
            <a:effectLst/>
          </c:spPr>
          <c:invertIfNegative val="0"/>
          <c:cat>
            <c:strRef>
              <c:f>KPI_Pivots!$A$73</c:f>
              <c:strCache>
                <c:ptCount val="1"/>
                <c:pt idx="0">
                  <c:v>Total</c:v>
                </c:pt>
              </c:strCache>
            </c:strRef>
          </c:cat>
          <c:val>
            <c:numRef>
              <c:f>KPI_Pivots!$B$73</c:f>
              <c:numCache>
                <c:formatCode>General</c:formatCode>
                <c:ptCount val="1"/>
                <c:pt idx="0">
                  <c:v>4866</c:v>
                </c:pt>
              </c:numCache>
            </c:numRef>
          </c:val>
          <c:extLst>
            <c:ext xmlns:c16="http://schemas.microsoft.com/office/drawing/2014/chart" uri="{C3380CC4-5D6E-409C-BE32-E72D297353CC}">
              <c16:uniqueId val="{00000000-FB2C-402B-B848-F300F400E13A}"/>
            </c:ext>
          </c:extLst>
        </c:ser>
        <c:ser>
          <c:idx val="1"/>
          <c:order val="1"/>
          <c:tx>
            <c:strRef>
              <c:f>KPI_Pivots!$C$71:$C$72</c:f>
              <c:strCache>
                <c:ptCount val="1"/>
                <c:pt idx="0">
                  <c:v>Cookware Set Pro</c:v>
                </c:pt>
              </c:strCache>
            </c:strRef>
          </c:tx>
          <c:spPr>
            <a:solidFill>
              <a:schemeClr val="accent2"/>
            </a:solidFill>
            <a:ln>
              <a:noFill/>
            </a:ln>
            <a:effectLst/>
          </c:spPr>
          <c:invertIfNegative val="0"/>
          <c:cat>
            <c:strRef>
              <c:f>KPI_Pivots!$A$73</c:f>
              <c:strCache>
                <c:ptCount val="1"/>
                <c:pt idx="0">
                  <c:v>Total</c:v>
                </c:pt>
              </c:strCache>
            </c:strRef>
          </c:cat>
          <c:val>
            <c:numRef>
              <c:f>KPI_Pivots!$C$73</c:f>
              <c:numCache>
                <c:formatCode>General</c:formatCode>
                <c:ptCount val="1"/>
                <c:pt idx="0">
                  <c:v>3220</c:v>
                </c:pt>
              </c:numCache>
            </c:numRef>
          </c:val>
          <c:extLst>
            <c:ext xmlns:c16="http://schemas.microsoft.com/office/drawing/2014/chart" uri="{C3380CC4-5D6E-409C-BE32-E72D297353CC}">
              <c16:uniqueId val="{00000001-2606-4AAC-AABF-05928D48A5A5}"/>
            </c:ext>
          </c:extLst>
        </c:ser>
        <c:ser>
          <c:idx val="2"/>
          <c:order val="2"/>
          <c:tx>
            <c:strRef>
              <c:f>KPI_Pivots!$D$71:$D$72</c:f>
              <c:strCache>
                <c:ptCount val="1"/>
                <c:pt idx="0">
                  <c:v>Doll House</c:v>
                </c:pt>
              </c:strCache>
            </c:strRef>
          </c:tx>
          <c:spPr>
            <a:solidFill>
              <a:schemeClr val="accent3"/>
            </a:solidFill>
            <a:ln>
              <a:noFill/>
            </a:ln>
            <a:effectLst/>
          </c:spPr>
          <c:invertIfNegative val="0"/>
          <c:cat>
            <c:strRef>
              <c:f>KPI_Pivots!$A$73</c:f>
              <c:strCache>
                <c:ptCount val="1"/>
                <c:pt idx="0">
                  <c:v>Total</c:v>
                </c:pt>
              </c:strCache>
            </c:strRef>
          </c:cat>
          <c:val>
            <c:numRef>
              <c:f>KPI_Pivots!$D$73</c:f>
              <c:numCache>
                <c:formatCode>General</c:formatCode>
                <c:ptCount val="1"/>
                <c:pt idx="0">
                  <c:v>1239</c:v>
                </c:pt>
              </c:numCache>
            </c:numRef>
          </c:val>
          <c:extLst>
            <c:ext xmlns:c16="http://schemas.microsoft.com/office/drawing/2014/chart" uri="{C3380CC4-5D6E-409C-BE32-E72D297353CC}">
              <c16:uniqueId val="{00000002-2606-4AAC-AABF-05928D48A5A5}"/>
            </c:ext>
          </c:extLst>
        </c:ser>
        <c:ser>
          <c:idx val="3"/>
          <c:order val="3"/>
          <c:tx>
            <c:strRef>
              <c:f>KPI_Pivots!$E$71:$E$72</c:f>
              <c:strCache>
                <c:ptCount val="1"/>
                <c:pt idx="0">
                  <c:v>Headphones</c:v>
                </c:pt>
              </c:strCache>
            </c:strRef>
          </c:tx>
          <c:spPr>
            <a:solidFill>
              <a:schemeClr val="accent4"/>
            </a:solidFill>
            <a:ln>
              <a:noFill/>
            </a:ln>
            <a:effectLst/>
          </c:spPr>
          <c:invertIfNegative val="0"/>
          <c:cat>
            <c:strRef>
              <c:f>KPI_Pivots!$A$73</c:f>
              <c:strCache>
                <c:ptCount val="1"/>
                <c:pt idx="0">
                  <c:v>Total</c:v>
                </c:pt>
              </c:strCache>
            </c:strRef>
          </c:cat>
          <c:val>
            <c:numRef>
              <c:f>KPI_Pivots!$E$73</c:f>
              <c:numCache>
                <c:formatCode>General</c:formatCode>
                <c:ptCount val="1"/>
                <c:pt idx="0">
                  <c:v>864</c:v>
                </c:pt>
              </c:numCache>
            </c:numRef>
          </c:val>
          <c:extLst>
            <c:ext xmlns:c16="http://schemas.microsoft.com/office/drawing/2014/chart" uri="{C3380CC4-5D6E-409C-BE32-E72D297353CC}">
              <c16:uniqueId val="{00000003-2606-4AAC-AABF-05928D48A5A5}"/>
            </c:ext>
          </c:extLst>
        </c:ser>
        <c:ser>
          <c:idx val="4"/>
          <c:order val="4"/>
          <c:tx>
            <c:strRef>
              <c:f>KPI_Pivots!$F$71:$F$72</c:f>
              <c:strCache>
                <c:ptCount val="1"/>
                <c:pt idx="0">
                  <c:v>Cookware Set</c:v>
                </c:pt>
              </c:strCache>
            </c:strRef>
          </c:tx>
          <c:spPr>
            <a:solidFill>
              <a:schemeClr val="accent5"/>
            </a:solidFill>
            <a:ln>
              <a:noFill/>
            </a:ln>
            <a:effectLst/>
          </c:spPr>
          <c:invertIfNegative val="0"/>
          <c:cat>
            <c:strRef>
              <c:f>KPI_Pivots!$A$73</c:f>
              <c:strCache>
                <c:ptCount val="1"/>
                <c:pt idx="0">
                  <c:v>Total</c:v>
                </c:pt>
              </c:strCache>
            </c:strRef>
          </c:cat>
          <c:val>
            <c:numRef>
              <c:f>KPI_Pivots!$F$73</c:f>
              <c:numCache>
                <c:formatCode>General</c:formatCode>
                <c:ptCount val="1"/>
                <c:pt idx="0">
                  <c:v>695</c:v>
                </c:pt>
              </c:numCache>
            </c:numRef>
          </c:val>
          <c:extLst>
            <c:ext xmlns:c16="http://schemas.microsoft.com/office/drawing/2014/chart" uri="{C3380CC4-5D6E-409C-BE32-E72D297353CC}">
              <c16:uniqueId val="{00000004-2606-4AAC-AABF-05928D48A5A5}"/>
            </c:ext>
          </c:extLst>
        </c:ser>
        <c:ser>
          <c:idx val="5"/>
          <c:order val="5"/>
          <c:tx>
            <c:strRef>
              <c:f>KPI_Pivots!$G$71:$G$72</c:f>
              <c:strCache>
                <c:ptCount val="1"/>
                <c:pt idx="0">
                  <c:v>Shoes</c:v>
                </c:pt>
              </c:strCache>
            </c:strRef>
          </c:tx>
          <c:spPr>
            <a:solidFill>
              <a:schemeClr val="accent6"/>
            </a:solidFill>
            <a:ln>
              <a:noFill/>
            </a:ln>
            <a:effectLst/>
          </c:spPr>
          <c:invertIfNegative val="0"/>
          <c:cat>
            <c:strRef>
              <c:f>KPI_Pivots!$A$73</c:f>
              <c:strCache>
                <c:ptCount val="1"/>
                <c:pt idx="0">
                  <c:v>Total</c:v>
                </c:pt>
              </c:strCache>
            </c:strRef>
          </c:cat>
          <c:val>
            <c:numRef>
              <c:f>KPI_Pivots!$G$73</c:f>
              <c:numCache>
                <c:formatCode>General</c:formatCode>
                <c:ptCount val="1"/>
                <c:pt idx="0">
                  <c:v>577</c:v>
                </c:pt>
              </c:numCache>
            </c:numRef>
          </c:val>
          <c:extLst>
            <c:ext xmlns:c16="http://schemas.microsoft.com/office/drawing/2014/chart" uri="{C3380CC4-5D6E-409C-BE32-E72D297353CC}">
              <c16:uniqueId val="{00000005-2606-4AAC-AABF-05928D48A5A5}"/>
            </c:ext>
          </c:extLst>
        </c:ser>
        <c:ser>
          <c:idx val="6"/>
          <c:order val="6"/>
          <c:tx>
            <c:strRef>
              <c:f>KPI_Pivots!$H$71:$H$72</c:f>
              <c:strCache>
                <c:ptCount val="1"/>
                <c:pt idx="0">
                  <c:v>Gaming Mouse</c:v>
                </c:pt>
              </c:strCache>
            </c:strRef>
          </c:tx>
          <c:spPr>
            <a:solidFill>
              <a:schemeClr val="accent1">
                <a:lumMod val="60000"/>
              </a:schemeClr>
            </a:solidFill>
            <a:ln>
              <a:noFill/>
            </a:ln>
            <a:effectLst/>
          </c:spPr>
          <c:invertIfNegative val="0"/>
          <c:cat>
            <c:strRef>
              <c:f>KPI_Pivots!$A$73</c:f>
              <c:strCache>
                <c:ptCount val="1"/>
                <c:pt idx="0">
                  <c:v>Total</c:v>
                </c:pt>
              </c:strCache>
            </c:strRef>
          </c:cat>
          <c:val>
            <c:numRef>
              <c:f>KPI_Pivots!$H$73</c:f>
              <c:numCache>
                <c:formatCode>General</c:formatCode>
                <c:ptCount val="1"/>
                <c:pt idx="0">
                  <c:v>292</c:v>
                </c:pt>
              </c:numCache>
            </c:numRef>
          </c:val>
          <c:extLst>
            <c:ext xmlns:c16="http://schemas.microsoft.com/office/drawing/2014/chart" uri="{C3380CC4-5D6E-409C-BE32-E72D297353CC}">
              <c16:uniqueId val="{00000006-2606-4AAC-AABF-05928D48A5A5}"/>
            </c:ext>
          </c:extLst>
        </c:ser>
        <c:ser>
          <c:idx val="7"/>
          <c:order val="7"/>
          <c:tx>
            <c:strRef>
              <c:f>KPI_Pivots!$I$71:$I$72</c:f>
              <c:strCache>
                <c:ptCount val="1"/>
                <c:pt idx="0">
                  <c:v>Wall Clock</c:v>
                </c:pt>
              </c:strCache>
            </c:strRef>
          </c:tx>
          <c:spPr>
            <a:solidFill>
              <a:schemeClr val="accent2">
                <a:lumMod val="60000"/>
              </a:schemeClr>
            </a:solidFill>
            <a:ln>
              <a:noFill/>
            </a:ln>
            <a:effectLst/>
          </c:spPr>
          <c:invertIfNegative val="0"/>
          <c:cat>
            <c:strRef>
              <c:f>KPI_Pivots!$A$73</c:f>
              <c:strCache>
                <c:ptCount val="1"/>
                <c:pt idx="0">
                  <c:v>Total</c:v>
                </c:pt>
              </c:strCache>
            </c:strRef>
          </c:cat>
          <c:val>
            <c:numRef>
              <c:f>KPI_Pivots!$I$73</c:f>
              <c:numCache>
                <c:formatCode>General</c:formatCode>
                <c:ptCount val="1"/>
                <c:pt idx="0">
                  <c:v>288</c:v>
                </c:pt>
              </c:numCache>
            </c:numRef>
          </c:val>
          <c:extLst>
            <c:ext xmlns:c16="http://schemas.microsoft.com/office/drawing/2014/chart" uri="{C3380CC4-5D6E-409C-BE32-E72D297353CC}">
              <c16:uniqueId val="{00000007-2606-4AAC-AABF-05928D48A5A5}"/>
            </c:ext>
          </c:extLst>
        </c:ser>
        <c:ser>
          <c:idx val="8"/>
          <c:order val="8"/>
          <c:tx>
            <c:strRef>
              <c:f>KPI_Pivots!$J$71:$J$72</c:f>
              <c:strCache>
                <c:ptCount val="1"/>
                <c:pt idx="0">
                  <c:v>T-Shirt</c:v>
                </c:pt>
              </c:strCache>
            </c:strRef>
          </c:tx>
          <c:spPr>
            <a:solidFill>
              <a:schemeClr val="accent3">
                <a:lumMod val="60000"/>
              </a:schemeClr>
            </a:solidFill>
            <a:ln>
              <a:noFill/>
            </a:ln>
            <a:effectLst/>
          </c:spPr>
          <c:invertIfNegative val="0"/>
          <c:cat>
            <c:strRef>
              <c:f>KPI_Pivots!$A$73</c:f>
              <c:strCache>
                <c:ptCount val="1"/>
                <c:pt idx="0">
                  <c:v>Total</c:v>
                </c:pt>
              </c:strCache>
            </c:strRef>
          </c:cat>
          <c:val>
            <c:numRef>
              <c:f>KPI_Pivots!$J$73</c:f>
              <c:numCache>
                <c:formatCode>General</c:formatCode>
                <c:ptCount val="1"/>
                <c:pt idx="0">
                  <c:v>269</c:v>
                </c:pt>
              </c:numCache>
            </c:numRef>
          </c:val>
          <c:extLst>
            <c:ext xmlns:c16="http://schemas.microsoft.com/office/drawing/2014/chart" uri="{C3380CC4-5D6E-409C-BE32-E72D297353CC}">
              <c16:uniqueId val="{00000008-2606-4AAC-AABF-05928D48A5A5}"/>
            </c:ext>
          </c:extLst>
        </c:ser>
        <c:ser>
          <c:idx val="9"/>
          <c:order val="9"/>
          <c:tx>
            <c:strRef>
              <c:f>KPI_Pivots!$K$71:$K$72</c:f>
              <c:strCache>
                <c:ptCount val="1"/>
                <c:pt idx="0">
                  <c:v>Backpack</c:v>
                </c:pt>
              </c:strCache>
            </c:strRef>
          </c:tx>
          <c:spPr>
            <a:solidFill>
              <a:schemeClr val="accent4">
                <a:lumMod val="60000"/>
              </a:schemeClr>
            </a:solidFill>
            <a:ln>
              <a:noFill/>
            </a:ln>
            <a:effectLst/>
          </c:spPr>
          <c:invertIfNegative val="0"/>
          <c:cat>
            <c:strRef>
              <c:f>KPI_Pivots!$A$73</c:f>
              <c:strCache>
                <c:ptCount val="1"/>
                <c:pt idx="0">
                  <c:v>Total</c:v>
                </c:pt>
              </c:strCache>
            </c:strRef>
          </c:cat>
          <c:val>
            <c:numRef>
              <c:f>KPI_Pivots!$K$73</c:f>
              <c:numCache>
                <c:formatCode>General</c:formatCode>
                <c:ptCount val="1"/>
                <c:pt idx="0">
                  <c:v>256</c:v>
                </c:pt>
              </c:numCache>
            </c:numRef>
          </c:val>
          <c:extLst>
            <c:ext xmlns:c16="http://schemas.microsoft.com/office/drawing/2014/chart" uri="{C3380CC4-5D6E-409C-BE32-E72D297353CC}">
              <c16:uniqueId val="{00000009-2606-4AAC-AABF-05928D48A5A5}"/>
            </c:ext>
          </c:extLst>
        </c:ser>
        <c:ser>
          <c:idx val="10"/>
          <c:order val="10"/>
          <c:tx>
            <c:strRef>
              <c:f>KPI_Pivots!$L$71:$L$72</c:f>
              <c:strCache>
                <c:ptCount val="1"/>
                <c:pt idx="0">
                  <c:v>Leg Set</c:v>
                </c:pt>
              </c:strCache>
            </c:strRef>
          </c:tx>
          <c:spPr>
            <a:solidFill>
              <a:schemeClr val="accent5">
                <a:lumMod val="60000"/>
              </a:schemeClr>
            </a:solidFill>
            <a:ln>
              <a:noFill/>
            </a:ln>
            <a:effectLst/>
          </c:spPr>
          <c:invertIfNegative val="0"/>
          <c:cat>
            <c:strRef>
              <c:f>KPI_Pivots!$A$73</c:f>
              <c:strCache>
                <c:ptCount val="1"/>
                <c:pt idx="0">
                  <c:v>Total</c:v>
                </c:pt>
              </c:strCache>
            </c:strRef>
          </c:cat>
          <c:val>
            <c:numRef>
              <c:f>KPI_Pivots!$L$73</c:f>
              <c:numCache>
                <c:formatCode>General</c:formatCode>
                <c:ptCount val="1"/>
                <c:pt idx="0">
                  <c:v>254</c:v>
                </c:pt>
              </c:numCache>
            </c:numRef>
          </c:val>
          <c:extLst>
            <c:ext xmlns:c16="http://schemas.microsoft.com/office/drawing/2014/chart" uri="{C3380CC4-5D6E-409C-BE32-E72D297353CC}">
              <c16:uniqueId val="{0000000A-2606-4AAC-AABF-05928D48A5A5}"/>
            </c:ext>
          </c:extLst>
        </c:ser>
        <c:ser>
          <c:idx val="11"/>
          <c:order val="11"/>
          <c:tx>
            <c:strRef>
              <c:f>KPI_Pivots!$M$71:$M$72</c:f>
              <c:strCache>
                <c:ptCount val="1"/>
                <c:pt idx="0">
                  <c:v>Formal Shirt</c:v>
                </c:pt>
              </c:strCache>
            </c:strRef>
          </c:tx>
          <c:spPr>
            <a:solidFill>
              <a:schemeClr val="accent6">
                <a:lumMod val="60000"/>
              </a:schemeClr>
            </a:solidFill>
            <a:ln>
              <a:noFill/>
            </a:ln>
            <a:effectLst/>
          </c:spPr>
          <c:invertIfNegative val="0"/>
          <c:cat>
            <c:strRef>
              <c:f>KPI_Pivots!$A$73</c:f>
              <c:strCache>
                <c:ptCount val="1"/>
                <c:pt idx="0">
                  <c:v>Total</c:v>
                </c:pt>
              </c:strCache>
            </c:strRef>
          </c:cat>
          <c:val>
            <c:numRef>
              <c:f>KPI_Pivots!$M$73</c:f>
              <c:numCache>
                <c:formatCode>General</c:formatCode>
                <c:ptCount val="1"/>
                <c:pt idx="0">
                  <c:v>215</c:v>
                </c:pt>
              </c:numCache>
            </c:numRef>
          </c:val>
          <c:extLst>
            <c:ext xmlns:c16="http://schemas.microsoft.com/office/drawing/2014/chart" uri="{C3380CC4-5D6E-409C-BE32-E72D297353CC}">
              <c16:uniqueId val="{0000000B-2606-4AAC-AABF-05928D48A5A5}"/>
            </c:ext>
          </c:extLst>
        </c:ser>
        <c:ser>
          <c:idx val="12"/>
          <c:order val="12"/>
          <c:tx>
            <c:strRef>
              <c:f>KPI_Pivots!$N$71:$N$72</c:f>
              <c:strCache>
                <c:ptCount val="1"/>
                <c:pt idx="0">
                  <c:v>Action Figure</c:v>
                </c:pt>
              </c:strCache>
            </c:strRef>
          </c:tx>
          <c:spPr>
            <a:solidFill>
              <a:schemeClr val="accent1">
                <a:lumMod val="80000"/>
                <a:lumOff val="20000"/>
              </a:schemeClr>
            </a:solidFill>
            <a:ln>
              <a:noFill/>
            </a:ln>
            <a:effectLst/>
          </c:spPr>
          <c:invertIfNegative val="0"/>
          <c:cat>
            <c:strRef>
              <c:f>KPI_Pivots!$A$73</c:f>
              <c:strCache>
                <c:ptCount val="1"/>
                <c:pt idx="0">
                  <c:v>Total</c:v>
                </c:pt>
              </c:strCache>
            </c:strRef>
          </c:cat>
          <c:val>
            <c:numRef>
              <c:f>KPI_Pivots!$N$73</c:f>
              <c:numCache>
                <c:formatCode>General</c:formatCode>
                <c:ptCount val="1"/>
                <c:pt idx="0">
                  <c:v>207</c:v>
                </c:pt>
              </c:numCache>
            </c:numRef>
          </c:val>
          <c:extLst>
            <c:ext xmlns:c16="http://schemas.microsoft.com/office/drawing/2014/chart" uri="{C3380CC4-5D6E-409C-BE32-E72D297353CC}">
              <c16:uniqueId val="{0000000C-2606-4AAC-AABF-05928D48A5A5}"/>
            </c:ext>
          </c:extLst>
        </c:ser>
        <c:ser>
          <c:idx val="13"/>
          <c:order val="13"/>
          <c:tx>
            <c:strRef>
              <c:f>KPI_Pivots!$O$71:$O$72</c:f>
              <c:strCache>
                <c:ptCount val="1"/>
                <c:pt idx="0">
                  <c:v>Novel</c:v>
                </c:pt>
              </c:strCache>
            </c:strRef>
          </c:tx>
          <c:spPr>
            <a:solidFill>
              <a:schemeClr val="accent2">
                <a:lumMod val="80000"/>
                <a:lumOff val="20000"/>
              </a:schemeClr>
            </a:solidFill>
            <a:ln>
              <a:noFill/>
            </a:ln>
            <a:effectLst/>
          </c:spPr>
          <c:invertIfNegative val="0"/>
          <c:cat>
            <c:strRef>
              <c:f>KPI_Pivots!$A$73</c:f>
              <c:strCache>
                <c:ptCount val="1"/>
                <c:pt idx="0">
                  <c:v>Total</c:v>
                </c:pt>
              </c:strCache>
            </c:strRef>
          </c:cat>
          <c:val>
            <c:numRef>
              <c:f>KPI_Pivots!$O$73</c:f>
              <c:numCache>
                <c:formatCode>General</c:formatCode>
                <c:ptCount val="1"/>
                <c:pt idx="0">
                  <c:v>127</c:v>
                </c:pt>
              </c:numCache>
            </c:numRef>
          </c:val>
          <c:extLst>
            <c:ext xmlns:c16="http://schemas.microsoft.com/office/drawing/2014/chart" uri="{C3380CC4-5D6E-409C-BE32-E72D297353CC}">
              <c16:uniqueId val="{0000000D-2606-4AAC-AABF-05928D48A5A5}"/>
            </c:ext>
          </c:extLst>
        </c:ser>
        <c:ser>
          <c:idx val="14"/>
          <c:order val="14"/>
          <c:tx>
            <c:strRef>
              <c:f>KPI_Pivots!$P$71:$P$72</c:f>
              <c:strCache>
                <c:ptCount val="1"/>
                <c:pt idx="0">
                  <c:v>Puzzle</c:v>
                </c:pt>
              </c:strCache>
            </c:strRef>
          </c:tx>
          <c:spPr>
            <a:solidFill>
              <a:schemeClr val="accent3">
                <a:lumMod val="80000"/>
                <a:lumOff val="20000"/>
              </a:schemeClr>
            </a:solidFill>
            <a:ln>
              <a:noFill/>
            </a:ln>
            <a:effectLst/>
          </c:spPr>
          <c:invertIfNegative val="0"/>
          <c:cat>
            <c:strRef>
              <c:f>KPI_Pivots!$A$73</c:f>
              <c:strCache>
                <c:ptCount val="1"/>
                <c:pt idx="0">
                  <c:v>Total</c:v>
                </c:pt>
              </c:strCache>
            </c:strRef>
          </c:cat>
          <c:val>
            <c:numRef>
              <c:f>KPI_Pivots!$P$73</c:f>
              <c:numCache>
                <c:formatCode>General</c:formatCode>
                <c:ptCount val="1"/>
                <c:pt idx="0">
                  <c:v>124</c:v>
                </c:pt>
              </c:numCache>
            </c:numRef>
          </c:val>
          <c:extLst>
            <c:ext xmlns:c16="http://schemas.microsoft.com/office/drawing/2014/chart" uri="{C3380CC4-5D6E-409C-BE32-E72D297353CC}">
              <c16:uniqueId val="{0000000E-2606-4AAC-AABF-05928D48A5A5}"/>
            </c:ext>
          </c:extLst>
        </c:ser>
        <c:ser>
          <c:idx val="15"/>
          <c:order val="15"/>
          <c:tx>
            <c:strRef>
              <c:f>KPI_Pivots!$Q$71:$Q$72</c:f>
              <c:strCache>
                <c:ptCount val="1"/>
                <c:pt idx="0">
                  <c:v>Bluetooth Speaker</c:v>
                </c:pt>
              </c:strCache>
            </c:strRef>
          </c:tx>
          <c:spPr>
            <a:solidFill>
              <a:schemeClr val="accent4">
                <a:lumMod val="80000"/>
                <a:lumOff val="20000"/>
              </a:schemeClr>
            </a:solidFill>
            <a:ln>
              <a:noFill/>
            </a:ln>
            <a:effectLst/>
          </c:spPr>
          <c:invertIfNegative val="0"/>
          <c:cat>
            <c:strRef>
              <c:f>KPI_Pivots!$A$73</c:f>
              <c:strCache>
                <c:ptCount val="1"/>
                <c:pt idx="0">
                  <c:v>Total</c:v>
                </c:pt>
              </c:strCache>
            </c:strRef>
          </c:cat>
          <c:val>
            <c:numRef>
              <c:f>KPI_Pivots!$Q$73</c:f>
              <c:numCache>
                <c:formatCode>General</c:formatCode>
                <c:ptCount val="1"/>
                <c:pt idx="0">
                  <c:v>104</c:v>
                </c:pt>
              </c:numCache>
            </c:numRef>
          </c:val>
          <c:extLst>
            <c:ext xmlns:c16="http://schemas.microsoft.com/office/drawing/2014/chart" uri="{C3380CC4-5D6E-409C-BE32-E72D297353CC}">
              <c16:uniqueId val="{0000000F-2606-4AAC-AABF-05928D48A5A5}"/>
            </c:ext>
          </c:extLst>
        </c:ser>
        <c:ser>
          <c:idx val="16"/>
          <c:order val="16"/>
          <c:tx>
            <c:strRef>
              <c:f>KPI_Pivots!$R$71:$R$72</c:f>
              <c:strCache>
                <c:ptCount val="1"/>
                <c:pt idx="0">
                  <c:v>Jeans</c:v>
                </c:pt>
              </c:strCache>
            </c:strRef>
          </c:tx>
          <c:spPr>
            <a:solidFill>
              <a:schemeClr val="accent5">
                <a:lumMod val="80000"/>
                <a:lumOff val="20000"/>
              </a:schemeClr>
            </a:solidFill>
            <a:ln>
              <a:noFill/>
            </a:ln>
            <a:effectLst/>
          </c:spPr>
          <c:invertIfNegative val="0"/>
          <c:cat>
            <c:strRef>
              <c:f>KPI_Pivots!$A$73</c:f>
              <c:strCache>
                <c:ptCount val="1"/>
                <c:pt idx="0">
                  <c:v>Total</c:v>
                </c:pt>
              </c:strCache>
            </c:strRef>
          </c:cat>
          <c:val>
            <c:numRef>
              <c:f>KPI_Pivots!$R$73</c:f>
              <c:numCache>
                <c:formatCode>General</c:formatCode>
                <c:ptCount val="1"/>
                <c:pt idx="0">
                  <c:v>59</c:v>
                </c:pt>
              </c:numCache>
            </c:numRef>
          </c:val>
          <c:extLst>
            <c:ext xmlns:c16="http://schemas.microsoft.com/office/drawing/2014/chart" uri="{C3380CC4-5D6E-409C-BE32-E72D297353CC}">
              <c16:uniqueId val="{00000010-2606-4AAC-AABF-05928D48A5A5}"/>
            </c:ext>
          </c:extLst>
        </c:ser>
        <c:ser>
          <c:idx val="17"/>
          <c:order val="17"/>
          <c:tx>
            <c:strRef>
              <c:f>KPI_Pivots!$S$71:$S$72</c:f>
              <c:strCache>
                <c:ptCount val="1"/>
                <c:pt idx="0">
                  <c:v>Vacuum Cleaner</c:v>
                </c:pt>
              </c:strCache>
            </c:strRef>
          </c:tx>
          <c:spPr>
            <a:solidFill>
              <a:schemeClr val="accent6">
                <a:lumMod val="80000"/>
                <a:lumOff val="20000"/>
              </a:schemeClr>
            </a:solidFill>
            <a:ln>
              <a:noFill/>
            </a:ln>
            <a:effectLst/>
          </c:spPr>
          <c:invertIfNegative val="0"/>
          <c:cat>
            <c:strRef>
              <c:f>KPI_Pivots!$A$73</c:f>
              <c:strCache>
                <c:ptCount val="1"/>
                <c:pt idx="0">
                  <c:v>Total</c:v>
                </c:pt>
              </c:strCache>
            </c:strRef>
          </c:cat>
          <c:val>
            <c:numRef>
              <c:f>KPI_Pivots!$S$73</c:f>
              <c:numCache>
                <c:formatCode>General</c:formatCode>
                <c:ptCount val="1"/>
                <c:pt idx="0">
                  <c:v>0</c:v>
                </c:pt>
              </c:numCache>
            </c:numRef>
          </c:val>
          <c:extLst>
            <c:ext xmlns:c16="http://schemas.microsoft.com/office/drawing/2014/chart" uri="{C3380CC4-5D6E-409C-BE32-E72D297353CC}">
              <c16:uniqueId val="{00000011-2606-4AAC-AABF-05928D48A5A5}"/>
            </c:ext>
          </c:extLst>
        </c:ser>
        <c:ser>
          <c:idx val="18"/>
          <c:order val="18"/>
          <c:tx>
            <c:strRef>
              <c:f>KPI_Pivots!$T$71:$T$72</c:f>
              <c:strCache>
                <c:ptCount val="1"/>
                <c:pt idx="0">
                  <c:v>Magazine</c:v>
                </c:pt>
              </c:strCache>
            </c:strRef>
          </c:tx>
          <c:spPr>
            <a:solidFill>
              <a:schemeClr val="accent1">
                <a:lumMod val="80000"/>
              </a:schemeClr>
            </a:solidFill>
            <a:ln>
              <a:noFill/>
            </a:ln>
            <a:effectLst/>
          </c:spPr>
          <c:invertIfNegative val="0"/>
          <c:cat>
            <c:strRef>
              <c:f>KPI_Pivots!$A$73</c:f>
              <c:strCache>
                <c:ptCount val="1"/>
                <c:pt idx="0">
                  <c:v>Total</c:v>
                </c:pt>
              </c:strCache>
            </c:strRef>
          </c:cat>
          <c:val>
            <c:numRef>
              <c:f>KPI_Pivots!$T$73</c:f>
              <c:numCache>
                <c:formatCode>General</c:formatCode>
                <c:ptCount val="1"/>
                <c:pt idx="0">
                  <c:v>0</c:v>
                </c:pt>
              </c:numCache>
            </c:numRef>
          </c:val>
          <c:extLst>
            <c:ext xmlns:c16="http://schemas.microsoft.com/office/drawing/2014/chart" uri="{C3380CC4-5D6E-409C-BE32-E72D297353CC}">
              <c16:uniqueId val="{00000012-2606-4AAC-AABF-05928D48A5A5}"/>
            </c:ext>
          </c:extLst>
        </c:ser>
        <c:ser>
          <c:idx val="19"/>
          <c:order val="19"/>
          <c:tx>
            <c:strRef>
              <c:f>KPI_Pivots!$U$71:$U$72</c:f>
              <c:strCache>
                <c:ptCount val="1"/>
                <c:pt idx="0">
                  <c:v>Smartwatch</c:v>
                </c:pt>
              </c:strCache>
            </c:strRef>
          </c:tx>
          <c:spPr>
            <a:solidFill>
              <a:schemeClr val="accent2">
                <a:lumMod val="80000"/>
              </a:schemeClr>
            </a:solidFill>
            <a:ln>
              <a:noFill/>
            </a:ln>
            <a:effectLst/>
          </c:spPr>
          <c:invertIfNegative val="0"/>
          <c:cat>
            <c:strRef>
              <c:f>KPI_Pivots!$A$73</c:f>
              <c:strCache>
                <c:ptCount val="1"/>
                <c:pt idx="0">
                  <c:v>Total</c:v>
                </c:pt>
              </c:strCache>
            </c:strRef>
          </c:cat>
          <c:val>
            <c:numRef>
              <c:f>KPI_Pivots!$U$73</c:f>
              <c:numCache>
                <c:formatCode>General</c:formatCode>
                <c:ptCount val="1"/>
                <c:pt idx="0">
                  <c:v>0</c:v>
                </c:pt>
              </c:numCache>
            </c:numRef>
          </c:val>
          <c:extLst>
            <c:ext xmlns:c16="http://schemas.microsoft.com/office/drawing/2014/chart" uri="{C3380CC4-5D6E-409C-BE32-E72D297353CC}">
              <c16:uniqueId val="{00000013-2606-4AAC-AABF-05928D48A5A5}"/>
            </c:ext>
          </c:extLst>
        </c:ser>
        <c:ser>
          <c:idx val="20"/>
          <c:order val="20"/>
          <c:tx>
            <c:strRef>
              <c:f>KPI_Pivots!$V$71:$V$72</c:f>
              <c:strCache>
                <c:ptCount val="1"/>
                <c:pt idx="0">
                  <c:v>Textbook</c:v>
                </c:pt>
              </c:strCache>
            </c:strRef>
          </c:tx>
          <c:spPr>
            <a:solidFill>
              <a:schemeClr val="accent3">
                <a:lumMod val="80000"/>
              </a:schemeClr>
            </a:solidFill>
            <a:ln>
              <a:noFill/>
            </a:ln>
            <a:effectLst/>
          </c:spPr>
          <c:invertIfNegative val="0"/>
          <c:cat>
            <c:strRef>
              <c:f>KPI_Pivots!$A$73</c:f>
              <c:strCache>
                <c:ptCount val="1"/>
                <c:pt idx="0">
                  <c:v>Total</c:v>
                </c:pt>
              </c:strCache>
            </c:strRef>
          </c:cat>
          <c:val>
            <c:numRef>
              <c:f>KPI_Pivots!$V$73</c:f>
              <c:numCache>
                <c:formatCode>General</c:formatCode>
                <c:ptCount val="1"/>
                <c:pt idx="0">
                  <c:v>0</c:v>
                </c:pt>
              </c:numCache>
            </c:numRef>
          </c:val>
          <c:extLst>
            <c:ext xmlns:c16="http://schemas.microsoft.com/office/drawing/2014/chart" uri="{C3380CC4-5D6E-409C-BE32-E72D297353CC}">
              <c16:uniqueId val="{00000014-2606-4AAC-AABF-05928D48A5A5}"/>
            </c:ext>
          </c:extLst>
        </c:ser>
        <c:ser>
          <c:idx val="21"/>
          <c:order val="21"/>
          <c:tx>
            <c:strRef>
              <c:f>KPI_Pivots!$W$71:$W$72</c:f>
              <c:strCache>
                <c:ptCount val="1"/>
                <c:pt idx="0">
                  <c:v>Lamp</c:v>
                </c:pt>
              </c:strCache>
            </c:strRef>
          </c:tx>
          <c:spPr>
            <a:solidFill>
              <a:schemeClr val="accent4">
                <a:lumMod val="80000"/>
              </a:schemeClr>
            </a:solidFill>
            <a:ln>
              <a:noFill/>
            </a:ln>
            <a:effectLst/>
          </c:spPr>
          <c:invertIfNegative val="0"/>
          <c:cat>
            <c:strRef>
              <c:f>KPI_Pivots!$A$73</c:f>
              <c:strCache>
                <c:ptCount val="1"/>
                <c:pt idx="0">
                  <c:v>Total</c:v>
                </c:pt>
              </c:strCache>
            </c:strRef>
          </c:cat>
          <c:val>
            <c:numRef>
              <c:f>KPI_Pivots!$W$73</c:f>
              <c:numCache>
                <c:formatCode>General</c:formatCode>
                <c:ptCount val="1"/>
                <c:pt idx="0">
                  <c:v>0</c:v>
                </c:pt>
              </c:numCache>
            </c:numRef>
          </c:val>
          <c:extLst>
            <c:ext xmlns:c16="http://schemas.microsoft.com/office/drawing/2014/chart" uri="{C3380CC4-5D6E-409C-BE32-E72D297353CC}">
              <c16:uniqueId val="{00000015-2606-4AAC-AABF-05928D48A5A5}"/>
            </c:ext>
          </c:extLst>
        </c:ser>
        <c:dLbls>
          <c:showLegendKey val="0"/>
          <c:showVal val="0"/>
          <c:showCatName val="0"/>
          <c:showSerName val="0"/>
          <c:showPercent val="0"/>
          <c:showBubbleSize val="0"/>
        </c:dLbls>
        <c:gapWidth val="219"/>
        <c:overlap val="-27"/>
        <c:axId val="1158253808"/>
        <c:axId val="1158270608"/>
      </c:barChart>
      <c:catAx>
        <c:axId val="11582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270608"/>
        <c:crosses val="autoZero"/>
        <c:auto val="1"/>
        <c:lblAlgn val="ctr"/>
        <c:lblOffset val="100"/>
        <c:noMultiLvlLbl val="0"/>
      </c:catAx>
      <c:valAx>
        <c:axId val="115827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25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929640</xdr:colOff>
      <xdr:row>13</xdr:row>
      <xdr:rowOff>44450</xdr:rowOff>
    </xdr:from>
    <xdr:to>
      <xdr:col>20</xdr:col>
      <xdr:colOff>0</xdr:colOff>
      <xdr:row>30</xdr:row>
      <xdr:rowOff>86360</xdr:rowOff>
    </xdr:to>
    <xdr:graphicFrame macro="">
      <xdr:nvGraphicFramePr>
        <xdr:cNvPr id="2" name="Effective Sales">
          <a:extLst>
            <a:ext uri="{FF2B5EF4-FFF2-40B4-BE49-F238E27FC236}">
              <a16:creationId xmlns:a16="http://schemas.microsoft.com/office/drawing/2014/main" id="{11024E5A-F996-8D75-C7A5-AF2E702B1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10303</xdr:colOff>
      <xdr:row>2</xdr:row>
      <xdr:rowOff>34637</xdr:rowOff>
    </xdr:from>
    <xdr:to>
      <xdr:col>17</xdr:col>
      <xdr:colOff>76172</xdr:colOff>
      <xdr:row>9</xdr:row>
      <xdr:rowOff>126077</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F421C27F-99CB-CB21-2858-0E7B5A5604D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981612" y="394855"/>
              <a:ext cx="3363251" cy="13522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1891</xdr:colOff>
      <xdr:row>33</xdr:row>
      <xdr:rowOff>134241</xdr:rowOff>
    </xdr:from>
    <xdr:to>
      <xdr:col>3</xdr:col>
      <xdr:colOff>89397</xdr:colOff>
      <xdr:row>47</xdr:row>
      <xdr:rowOff>45977</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188D5F7-366F-50D6-BA42-93850AD68C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1720" y="6241127"/>
              <a:ext cx="1818334" cy="2502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220654</xdr:colOff>
      <xdr:row>33</xdr:row>
      <xdr:rowOff>138594</xdr:rowOff>
    </xdr:from>
    <xdr:to>
      <xdr:col>7</xdr:col>
      <xdr:colOff>450110</xdr:colOff>
      <xdr:row>47</xdr:row>
      <xdr:rowOff>50329</xdr:rowOff>
    </xdr:to>
    <mc:AlternateContent xmlns:mc="http://schemas.openxmlformats.org/markup-compatibility/2006">
      <mc:Choice xmlns:a14="http://schemas.microsoft.com/office/drawing/2010/main" Requires="a14">
        <xdr:graphicFrame macro="">
          <xdr:nvGraphicFramePr>
            <xdr:cNvPr id="5" name="Payment Method">
              <a:extLst>
                <a:ext uri="{FF2B5EF4-FFF2-40B4-BE49-F238E27FC236}">
                  <a16:creationId xmlns:a16="http://schemas.microsoft.com/office/drawing/2014/main" id="{4DFA85D8-CA41-1777-9150-8E99DDD9036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4476968" y="6245480"/>
              <a:ext cx="1818771"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551180</xdr:colOff>
      <xdr:row>33</xdr:row>
      <xdr:rowOff>119380</xdr:rowOff>
    </xdr:from>
    <xdr:to>
      <xdr:col>15</xdr:col>
      <xdr:colOff>154939</xdr:colOff>
      <xdr:row>47</xdr:row>
      <xdr:rowOff>26035</xdr:rowOff>
    </xdr:to>
    <mc:AlternateContent xmlns:mc="http://schemas.openxmlformats.org/markup-compatibility/2006">
      <mc:Choice xmlns:a14="http://schemas.microsoft.com/office/drawing/2010/main" Requires="a14">
        <xdr:graphicFrame macro="">
          <xdr:nvGraphicFramePr>
            <xdr:cNvPr id="6" name="Delivery Status">
              <a:extLst>
                <a:ext uri="{FF2B5EF4-FFF2-40B4-BE49-F238E27FC236}">
                  <a16:creationId xmlns:a16="http://schemas.microsoft.com/office/drawing/2014/main" id="{C1679264-1992-A544-30F8-9376D9CAB2ED}"/>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8171180" y="6226266"/>
              <a:ext cx="183533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5</xdr:row>
      <xdr:rowOff>175260</xdr:rowOff>
    </xdr:from>
    <xdr:to>
      <xdr:col>7</xdr:col>
      <xdr:colOff>312420</xdr:colOff>
      <xdr:row>20</xdr:row>
      <xdr:rowOff>175260</xdr:rowOff>
    </xdr:to>
    <xdr:graphicFrame macro="">
      <xdr:nvGraphicFramePr>
        <xdr:cNvPr id="2" name="Count of Orders by Delivery Status">
          <a:extLst>
            <a:ext uri="{FF2B5EF4-FFF2-40B4-BE49-F238E27FC236}">
              <a16:creationId xmlns:a16="http://schemas.microsoft.com/office/drawing/2014/main" id="{B9195BE4-7A1F-76EC-2B5D-509020CBC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883920</xdr:colOff>
      <xdr:row>9</xdr:row>
      <xdr:rowOff>171450</xdr:rowOff>
    </xdr:from>
    <xdr:to>
      <xdr:col>6</xdr:col>
      <xdr:colOff>701040</xdr:colOff>
      <xdr:row>24</xdr:row>
      <xdr:rowOff>171450</xdr:rowOff>
    </xdr:to>
    <xdr:graphicFrame macro="">
      <xdr:nvGraphicFramePr>
        <xdr:cNvPr id="2" name="Average Delivery Time by Region">
          <a:extLst>
            <a:ext uri="{FF2B5EF4-FFF2-40B4-BE49-F238E27FC236}">
              <a16:creationId xmlns:a16="http://schemas.microsoft.com/office/drawing/2014/main" id="{A8C2B8DB-E482-8483-A302-634DC4DF2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30480</xdr:colOff>
      <xdr:row>3</xdr:row>
      <xdr:rowOff>30480</xdr:rowOff>
    </xdr:from>
    <xdr:to>
      <xdr:col>8</xdr:col>
      <xdr:colOff>259080</xdr:colOff>
      <xdr:row>18</xdr:row>
      <xdr:rowOff>30480</xdr:rowOff>
    </xdr:to>
    <xdr:graphicFrame macro="">
      <xdr:nvGraphicFramePr>
        <xdr:cNvPr id="2" name="Chart 1">
          <a:extLst>
            <a:ext uri="{FF2B5EF4-FFF2-40B4-BE49-F238E27FC236}">
              <a16:creationId xmlns:a16="http://schemas.microsoft.com/office/drawing/2014/main" id="{28537A75-22E6-3579-1152-375092625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601980</xdr:colOff>
      <xdr:row>28</xdr:row>
      <xdr:rowOff>45720</xdr:rowOff>
    </xdr:from>
    <xdr:to>
      <xdr:col>7</xdr:col>
      <xdr:colOff>426720</xdr:colOff>
      <xdr:row>43</xdr:row>
      <xdr:rowOff>45720</xdr:rowOff>
    </xdr:to>
    <xdr:graphicFrame macro="">
      <xdr:nvGraphicFramePr>
        <xdr:cNvPr id="3" name="Chart 2">
          <a:extLst>
            <a:ext uri="{FF2B5EF4-FFF2-40B4-BE49-F238E27FC236}">
              <a16:creationId xmlns:a16="http://schemas.microsoft.com/office/drawing/2014/main" id="{D5A073E0-D84B-5B95-69D9-BD5B79C36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1181100</xdr:colOff>
      <xdr:row>53</xdr:row>
      <xdr:rowOff>7620</xdr:rowOff>
    </xdr:from>
    <xdr:to>
      <xdr:col>8</xdr:col>
      <xdr:colOff>137160</xdr:colOff>
      <xdr:row>68</xdr:row>
      <xdr:rowOff>7620</xdr:rowOff>
    </xdr:to>
    <xdr:graphicFrame macro="">
      <xdr:nvGraphicFramePr>
        <xdr:cNvPr id="4" name="Chart 3">
          <a:extLst>
            <a:ext uri="{FF2B5EF4-FFF2-40B4-BE49-F238E27FC236}">
              <a16:creationId xmlns:a16="http://schemas.microsoft.com/office/drawing/2014/main" id="{45752A74-A7E8-6431-EAEF-5A17897FE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259080</xdr:colOff>
      <xdr:row>74</xdr:row>
      <xdr:rowOff>83820</xdr:rowOff>
    </xdr:from>
    <xdr:to>
      <xdr:col>6</xdr:col>
      <xdr:colOff>45720</xdr:colOff>
      <xdr:row>89</xdr:row>
      <xdr:rowOff>83820</xdr:rowOff>
    </xdr:to>
    <xdr:graphicFrame macro="">
      <xdr:nvGraphicFramePr>
        <xdr:cNvPr id="5" name="Chart 4">
          <a:extLst>
            <a:ext uri="{FF2B5EF4-FFF2-40B4-BE49-F238E27FC236}">
              <a16:creationId xmlns:a16="http://schemas.microsoft.com/office/drawing/2014/main" id="{6368A877-A93C-D113-5910-F93E42FC1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xdr:colOff>
      <xdr:row>15</xdr:row>
      <xdr:rowOff>7620</xdr:rowOff>
    </xdr:from>
    <xdr:to>
      <xdr:col>4</xdr:col>
      <xdr:colOff>0</xdr:colOff>
      <xdr:row>19</xdr:row>
      <xdr:rowOff>175260</xdr:rowOff>
    </xdr:to>
    <xdr:sp macro="" textlink="">
      <xdr:nvSpPr>
        <xdr:cNvPr id="2" name="Rectangle 1">
          <a:extLst>
            <a:ext uri="{FF2B5EF4-FFF2-40B4-BE49-F238E27FC236}">
              <a16:creationId xmlns:a16="http://schemas.microsoft.com/office/drawing/2014/main" id="{A15252C3-7F9D-F882-B2FA-BAF8FF011B59}"/>
            </a:ext>
          </a:extLst>
        </xdr:cNvPr>
        <xdr:cNvSpPr/>
      </xdr:nvSpPr>
      <xdr:spPr>
        <a:xfrm>
          <a:off x="1440180" y="2750820"/>
          <a:ext cx="2385060" cy="89916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16</xdr:row>
      <xdr:rowOff>15240</xdr:rowOff>
    </xdr:from>
    <xdr:to>
      <xdr:col>3</xdr:col>
      <xdr:colOff>762000</xdr:colOff>
      <xdr:row>18</xdr:row>
      <xdr:rowOff>129540</xdr:rowOff>
    </xdr:to>
    <xdr:sp macro="" textlink="$D$2">
      <xdr:nvSpPr>
        <xdr:cNvPr id="3" name="TextBox 2">
          <a:extLst>
            <a:ext uri="{FF2B5EF4-FFF2-40B4-BE49-F238E27FC236}">
              <a16:creationId xmlns:a16="http://schemas.microsoft.com/office/drawing/2014/main" id="{B2C03D22-D6D3-31F0-0EE3-6135BAA9E95E}"/>
            </a:ext>
          </a:extLst>
        </xdr:cNvPr>
        <xdr:cNvSpPr txBox="1"/>
      </xdr:nvSpPr>
      <xdr:spPr>
        <a:xfrm>
          <a:off x="1714500" y="2941320"/>
          <a:ext cx="1935480" cy="48006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8BE6CB-BC0E-483F-9432-A5DE086251A2}" type="TxLink">
            <a:rPr lang="en-US" sz="2400" b="1" i="0" u="none" strike="noStrike">
              <a:solidFill>
                <a:srgbClr val="000000"/>
              </a:solidFill>
              <a:latin typeface="Calibri"/>
              <a:ea typeface="Calibri"/>
              <a:cs typeface="Calibri"/>
            </a:rPr>
            <a:pPr algn="ctr"/>
            <a:t>₹ 13,656.00</a:t>
          </a:fld>
          <a:endParaRPr lang="en-IN" sz="2400" b="1"/>
        </a:p>
      </xdr:txBody>
    </xdr:sp>
    <xdr:clientData/>
  </xdr:twoCellAnchor>
  <xdr:twoCellAnchor>
    <xdr:from>
      <xdr:col>6</xdr:col>
      <xdr:colOff>365760</xdr:colOff>
      <xdr:row>14</xdr:row>
      <xdr:rowOff>99060</xdr:rowOff>
    </xdr:from>
    <xdr:to>
      <xdr:col>10</xdr:col>
      <xdr:colOff>167640</xdr:colOff>
      <xdr:row>20</xdr:row>
      <xdr:rowOff>76200</xdr:rowOff>
    </xdr:to>
    <xdr:sp macro="" textlink="">
      <xdr:nvSpPr>
        <xdr:cNvPr id="4" name="Oval 3">
          <a:extLst>
            <a:ext uri="{FF2B5EF4-FFF2-40B4-BE49-F238E27FC236}">
              <a16:creationId xmlns:a16="http://schemas.microsoft.com/office/drawing/2014/main" id="{481A8F3C-B36C-B449-E2C1-1E0DEA075352}"/>
            </a:ext>
          </a:extLst>
        </xdr:cNvPr>
        <xdr:cNvSpPr/>
      </xdr:nvSpPr>
      <xdr:spPr>
        <a:xfrm>
          <a:off x="5524500" y="3208020"/>
          <a:ext cx="2240280" cy="1074420"/>
        </a:xfrm>
        <a:prstGeom prst="ellips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213360</xdr:colOff>
      <xdr:row>15</xdr:row>
      <xdr:rowOff>167640</xdr:rowOff>
    </xdr:from>
    <xdr:to>
      <xdr:col>9</xdr:col>
      <xdr:colOff>320040</xdr:colOff>
      <xdr:row>18</xdr:row>
      <xdr:rowOff>137160</xdr:rowOff>
    </xdr:to>
    <xdr:sp macro="" textlink="$D$4">
      <xdr:nvSpPr>
        <xdr:cNvPr id="5" name="TextBox 4">
          <a:extLst>
            <a:ext uri="{FF2B5EF4-FFF2-40B4-BE49-F238E27FC236}">
              <a16:creationId xmlns:a16="http://schemas.microsoft.com/office/drawing/2014/main" id="{B1D52869-D4C6-CA0E-0FAD-9AA1E29A40B8}"/>
            </a:ext>
          </a:extLst>
        </xdr:cNvPr>
        <xdr:cNvSpPr txBox="1"/>
      </xdr:nvSpPr>
      <xdr:spPr>
        <a:xfrm>
          <a:off x="5981700" y="3459480"/>
          <a:ext cx="1325880" cy="5181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6FE0CD-4F52-453C-9925-59CFD99E927F}" type="TxLink">
            <a:rPr lang="en-US" sz="1800" b="1" i="0" u="none" strike="noStrike">
              <a:solidFill>
                <a:srgbClr val="000000"/>
              </a:solidFill>
              <a:latin typeface="Calibri"/>
              <a:ea typeface="Calibri"/>
              <a:cs typeface="Calibri"/>
            </a:rPr>
            <a:pPr algn="ctr"/>
            <a:t>11.00%</a:t>
          </a:fld>
          <a:endParaRPr lang="en-IN" sz="1800" b="1"/>
        </a:p>
      </xdr:txBody>
    </xdr:sp>
    <xdr:clientData/>
  </xdr:twoCellAnchor>
  <xdr:twoCellAnchor>
    <xdr:from>
      <xdr:col>2</xdr:col>
      <xdr:colOff>83820</xdr:colOff>
      <xdr:row>25</xdr:row>
      <xdr:rowOff>91440</xdr:rowOff>
    </xdr:from>
    <xdr:to>
      <xdr:col>3</xdr:col>
      <xdr:colOff>1135380</xdr:colOff>
      <xdr:row>39</xdr:row>
      <xdr:rowOff>160020</xdr:rowOff>
    </xdr:to>
    <xdr:sp macro="" textlink="">
      <xdr:nvSpPr>
        <xdr:cNvPr id="6" name="Isosceles Triangle 5">
          <a:extLst>
            <a:ext uri="{FF2B5EF4-FFF2-40B4-BE49-F238E27FC236}">
              <a16:creationId xmlns:a16="http://schemas.microsoft.com/office/drawing/2014/main" id="{7B36482A-9734-90AF-E26F-FCBDA7B5D5C5}"/>
            </a:ext>
          </a:extLst>
        </xdr:cNvPr>
        <xdr:cNvSpPr/>
      </xdr:nvSpPr>
      <xdr:spPr>
        <a:xfrm>
          <a:off x="1501140" y="5212080"/>
          <a:ext cx="2522220" cy="2628900"/>
        </a:xfrm>
        <a:prstGeom prst="triangle">
          <a:avLst>
            <a:gd name="adj" fmla="val 50000"/>
          </a:avLst>
        </a:prstGeom>
        <a:solidFill>
          <a:srgbClr val="E955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876300</xdr:colOff>
      <xdr:row>35</xdr:row>
      <xdr:rowOff>68580</xdr:rowOff>
    </xdr:from>
    <xdr:to>
      <xdr:col>3</xdr:col>
      <xdr:colOff>335280</xdr:colOff>
      <xdr:row>37</xdr:row>
      <xdr:rowOff>60960</xdr:rowOff>
    </xdr:to>
    <xdr:sp macro="" textlink="$D$9">
      <xdr:nvSpPr>
        <xdr:cNvPr id="7" name="TextBox 6">
          <a:extLst>
            <a:ext uri="{FF2B5EF4-FFF2-40B4-BE49-F238E27FC236}">
              <a16:creationId xmlns:a16="http://schemas.microsoft.com/office/drawing/2014/main" id="{5D736895-B649-C5FE-1D12-2ED7674F461D}"/>
            </a:ext>
          </a:extLst>
        </xdr:cNvPr>
        <xdr:cNvSpPr txBox="1"/>
      </xdr:nvSpPr>
      <xdr:spPr>
        <a:xfrm>
          <a:off x="2293620" y="7018020"/>
          <a:ext cx="929640" cy="35814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B4AFF3-028D-454B-BA56-ACE958BD81D4}" type="TxLink">
            <a:rPr lang="en-US" sz="1400" b="1" i="0" u="none" strike="noStrike">
              <a:solidFill>
                <a:srgbClr val="000000"/>
              </a:solidFill>
              <a:latin typeface="Calibri"/>
              <a:ea typeface="Calibri"/>
              <a:cs typeface="Calibri"/>
            </a:rPr>
            <a:pPr algn="ctr"/>
            <a:t>West</a:t>
          </a:fld>
          <a:endParaRPr lang="en-US" b="1"/>
        </a:p>
      </xdr:txBody>
    </xdr:sp>
    <xdr:clientData/>
  </xdr:twoCellAnchor>
  <xdr:twoCellAnchor>
    <xdr:from>
      <xdr:col>2</xdr:col>
      <xdr:colOff>784860</xdr:colOff>
      <xdr:row>32</xdr:row>
      <xdr:rowOff>144780</xdr:rowOff>
    </xdr:from>
    <xdr:to>
      <xdr:col>3</xdr:col>
      <xdr:colOff>411480</xdr:colOff>
      <xdr:row>34</xdr:row>
      <xdr:rowOff>167640</xdr:rowOff>
    </xdr:to>
    <xdr:sp macro="" textlink="$D$8">
      <xdr:nvSpPr>
        <xdr:cNvPr id="8" name="TextBox 7">
          <a:extLst>
            <a:ext uri="{FF2B5EF4-FFF2-40B4-BE49-F238E27FC236}">
              <a16:creationId xmlns:a16="http://schemas.microsoft.com/office/drawing/2014/main" id="{D36A024D-84C9-74A3-0FCF-581B97939965}"/>
            </a:ext>
          </a:extLst>
        </xdr:cNvPr>
        <xdr:cNvSpPr txBox="1"/>
      </xdr:nvSpPr>
      <xdr:spPr>
        <a:xfrm>
          <a:off x="2202180" y="6545580"/>
          <a:ext cx="109728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CFC8F6-DE4E-4F28-B51F-19371B1BEDD2}" type="TxLink">
            <a:rPr lang="en-US" sz="1400" b="1" i="0" u="none" strike="noStrike">
              <a:solidFill>
                <a:srgbClr val="000000"/>
              </a:solidFill>
              <a:latin typeface="Calibri"/>
              <a:ea typeface="Calibri"/>
              <a:cs typeface="Calibri"/>
            </a:rPr>
            <a:pPr algn="ctr"/>
            <a:t>North</a:t>
          </a:fld>
          <a:endParaRPr lang="en-IN" sz="1100" b="1"/>
        </a:p>
      </xdr:txBody>
    </xdr:sp>
    <xdr:clientData/>
  </xdr:twoCellAnchor>
  <xdr:twoCellAnchor>
    <xdr:from>
      <xdr:col>2</xdr:col>
      <xdr:colOff>1005840</xdr:colOff>
      <xdr:row>37</xdr:row>
      <xdr:rowOff>152400</xdr:rowOff>
    </xdr:from>
    <xdr:to>
      <xdr:col>3</xdr:col>
      <xdr:colOff>243840</xdr:colOff>
      <xdr:row>39</xdr:row>
      <xdr:rowOff>45720</xdr:rowOff>
    </xdr:to>
    <xdr:sp macro="" textlink="$D$10">
      <xdr:nvSpPr>
        <xdr:cNvPr id="9" name="TextBox 8">
          <a:extLst>
            <a:ext uri="{FF2B5EF4-FFF2-40B4-BE49-F238E27FC236}">
              <a16:creationId xmlns:a16="http://schemas.microsoft.com/office/drawing/2014/main" id="{8CD2F589-14C4-8761-59B8-5425E2ABB506}"/>
            </a:ext>
          </a:extLst>
        </xdr:cNvPr>
        <xdr:cNvSpPr txBox="1"/>
      </xdr:nvSpPr>
      <xdr:spPr>
        <a:xfrm>
          <a:off x="2423160" y="7467600"/>
          <a:ext cx="70866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10D4D2-55A1-4F98-8535-286E14D58517}" type="TxLink">
            <a:rPr lang="en-US" sz="1400" b="1" i="0" u="none" strike="noStrike">
              <a:solidFill>
                <a:srgbClr val="000000"/>
              </a:solidFill>
              <a:latin typeface="Calibri"/>
              <a:ea typeface="Calibri"/>
              <a:cs typeface="Calibri"/>
            </a:rPr>
            <a:pPr algn="ctr"/>
            <a:t>Central</a:t>
          </a:fld>
          <a:endParaRPr lang="en-IN" sz="1100" b="1"/>
        </a:p>
      </xdr:txBody>
    </xdr:sp>
    <xdr:clientData/>
  </xdr:twoCellAnchor>
  <xdr:twoCellAnchor>
    <xdr:from>
      <xdr:col>7</xdr:col>
      <xdr:colOff>281940</xdr:colOff>
      <xdr:row>26</xdr:row>
      <xdr:rowOff>106680</xdr:rowOff>
    </xdr:from>
    <xdr:to>
      <xdr:col>10</xdr:col>
      <xdr:colOff>487680</xdr:colOff>
      <xdr:row>36</xdr:row>
      <xdr:rowOff>106680</xdr:rowOff>
    </xdr:to>
    <xdr:sp macro="" textlink="">
      <xdr:nvSpPr>
        <xdr:cNvPr id="10" name="Rectangle: Rounded Corners 9">
          <a:extLst>
            <a:ext uri="{FF2B5EF4-FFF2-40B4-BE49-F238E27FC236}">
              <a16:creationId xmlns:a16="http://schemas.microsoft.com/office/drawing/2014/main" id="{6B39864F-89F9-EAF7-F2B4-0C5454B2487B}"/>
            </a:ext>
          </a:extLst>
        </xdr:cNvPr>
        <xdr:cNvSpPr/>
      </xdr:nvSpPr>
      <xdr:spPr>
        <a:xfrm>
          <a:off x="6827520" y="5410200"/>
          <a:ext cx="2034540" cy="18288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60960</xdr:colOff>
      <xdr:row>29</xdr:row>
      <xdr:rowOff>7620</xdr:rowOff>
    </xdr:from>
    <xdr:to>
      <xdr:col>10</xdr:col>
      <xdr:colOff>160020</xdr:colOff>
      <xdr:row>33</xdr:row>
      <xdr:rowOff>175260</xdr:rowOff>
    </xdr:to>
    <xdr:sp macro="" textlink="$D$12">
      <xdr:nvSpPr>
        <xdr:cNvPr id="11" name="TextBox 10">
          <a:extLst>
            <a:ext uri="{FF2B5EF4-FFF2-40B4-BE49-F238E27FC236}">
              <a16:creationId xmlns:a16="http://schemas.microsoft.com/office/drawing/2014/main" id="{33B637C0-5C61-648A-0E7B-BA0DF55283F9}"/>
            </a:ext>
          </a:extLst>
        </xdr:cNvPr>
        <xdr:cNvSpPr txBox="1"/>
      </xdr:nvSpPr>
      <xdr:spPr>
        <a:xfrm>
          <a:off x="7216140" y="5859780"/>
          <a:ext cx="131826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102D55-87EA-4DE0-A489-976A2C25DD39}" type="TxLink">
            <a:rPr lang="en-US" sz="1600" b="1" i="0" u="none" strike="noStrike">
              <a:solidFill>
                <a:srgbClr val="000000"/>
              </a:solidFill>
              <a:latin typeface="Calibri"/>
              <a:ea typeface="Calibri"/>
              <a:cs typeface="Calibri"/>
            </a:rPr>
            <a:pPr algn="ctr"/>
            <a:t>Smartphone</a:t>
          </a:fld>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refreshedDate="45893.85925011574" createdVersion="8" refreshedVersion="8" minRefreshableVersion="3" recordCount="100" xr:uid="{D9A9B232-1FBA-485D-9404-611F08F73028}">
  <cacheSource type="worksheet">
    <worksheetSource name="SalesTbl"/>
  </cacheSource>
  <cacheFields count="23">
    <cacheField name="Order ID" numFmtId="0">
      <sharedItems/>
    </cacheField>
    <cacheField name="Order Date" numFmtId="16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cacheField>
    <cacheField name="Delivery Date" numFmtId="0">
      <sharedItems containsNonDate="0" containsDate="1" containsString="0" containsBlank="1" minDate="2023-01-09T00:00:00" maxDate="2024-01-02T00:00:00"/>
    </cacheField>
    <cacheField name="Cancel Date" numFmtId="0">
      <sharedItems containsNonDate="0" containsDate="1" containsString="0" containsBlank="1" minDate="2023-01-24T00:00:00" maxDate="2024-01-03T00:00:00"/>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Calc Amount" numFmtId="0">
      <sharedItems containsSemiMixedTypes="0" containsString="0" containsNumber="1" containsInteger="1" minValue="21" maxValue="3260"/>
    </cacheField>
    <cacheField name="Amount Match Flag" numFmtId="0">
      <sharedItems/>
    </cacheField>
    <cacheField name="Is Cancelled" numFmtId="0">
      <sharedItems containsSemiMixedTypes="0" containsString="0" containsNumber="1" containsInteger="1" minValue="0" maxValue="1"/>
    </cacheField>
    <cacheField name="Delivery Time (Days)" numFmtId="0">
      <sharedItems containsString="0" containsBlank="1" containsNumber="1" containsInteger="1" minValue="1" maxValue="7"/>
    </cacheField>
    <cacheField name="Delivery Performance" numFmtId="0">
      <sharedItems count="3">
        <s v="nan"/>
        <s v="Fast"/>
        <s v="Slow"/>
      </sharedItems>
    </cacheField>
    <cacheField name="Effective Sales" numFmtId="0">
      <sharedItems containsSemiMixedTypes="0" containsString="0" containsNumber="1" containsInteger="1" minValue="0" maxValue="3260"/>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tegory" numFmtId="0">
      <sharedItems count="5">
        <s v="Home"/>
        <s v="Toys"/>
        <s v="Fashion"/>
        <s v="Electronics"/>
        <s v="Books"/>
      </sharedItems>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 name="Years (Order Date)" numFmtId="0" databaseField="0">
      <fieldGroup base="1">
        <rangePr groupBy="years" startDate="2023-01-07T00:00:00" endDate="2024-01-01T00:00:00"/>
        <groupItems count="4">
          <s v="&lt;07-01-2023"/>
          <s v="2023"/>
          <s v="2024"/>
          <s v="&gt;01-01-2024"/>
        </groupItems>
      </fieldGroup>
    </cacheField>
  </cacheFields>
  <extLst>
    <ext xmlns:x14="http://schemas.microsoft.com/office/spreadsheetml/2009/9/main" uri="{725AE2AE-9491-48be-B2B4-4EB974FC3084}">
      <x14:pivotCacheDefinition pivotCacheId="1442539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d v="2024-01-02T00:00:00"/>
    <s v="CUST021"/>
    <x v="0"/>
    <x v="0"/>
    <n v="44"/>
    <n v="1"/>
    <n v="44"/>
    <x v="0"/>
    <x v="0"/>
    <s v="DHL"/>
    <n v="44"/>
    <s v="OK"/>
    <n v="1"/>
    <m/>
    <x v="0"/>
    <n v="0"/>
    <x v="0"/>
    <x v="0"/>
  </r>
  <r>
    <s v="ORD0002"/>
    <x v="1"/>
    <d v="2023-02-24T00:00:00"/>
    <m/>
    <s v="CUST029"/>
    <x v="1"/>
    <x v="1"/>
    <n v="96"/>
    <n v="4"/>
    <n v="384"/>
    <x v="1"/>
    <x v="1"/>
    <s v="DHL"/>
    <n v="384"/>
    <s v="OK"/>
    <n v="0"/>
    <n v="2"/>
    <x v="1"/>
    <n v="384"/>
    <x v="1"/>
    <x v="1"/>
  </r>
  <r>
    <s v="ORD0003"/>
    <x v="2"/>
    <m/>
    <m/>
    <s v="CUST021"/>
    <x v="2"/>
    <x v="2"/>
    <n v="194"/>
    <n v="4"/>
    <n v="776"/>
    <x v="1"/>
    <x v="2"/>
    <s v="USPS"/>
    <n v="776"/>
    <s v="OK"/>
    <n v="0"/>
    <m/>
    <x v="0"/>
    <n v="0"/>
    <x v="2"/>
    <x v="0"/>
  </r>
  <r>
    <s v="ORD0004"/>
    <x v="3"/>
    <m/>
    <d v="2023-05-11T00:00:00"/>
    <s v="CUST044"/>
    <x v="2"/>
    <x v="0"/>
    <n v="196"/>
    <n v="3"/>
    <n v="588"/>
    <x v="2"/>
    <x v="0"/>
    <s v="UPS"/>
    <n v="588"/>
    <s v="OK"/>
    <n v="1"/>
    <m/>
    <x v="0"/>
    <n v="0"/>
    <x v="2"/>
    <x v="0"/>
  </r>
  <r>
    <s v="ORD0005"/>
    <x v="4"/>
    <d v="2023-02-05T00:00:00"/>
    <m/>
    <s v="CUST027"/>
    <x v="3"/>
    <x v="0"/>
    <n v="59"/>
    <n v="1"/>
    <n v="59"/>
    <x v="2"/>
    <x v="1"/>
    <s v="Amazon Logistics"/>
    <n v="59"/>
    <s v="OK"/>
    <n v="0"/>
    <n v="3"/>
    <x v="2"/>
    <n v="59"/>
    <x v="3"/>
    <x v="2"/>
  </r>
  <r>
    <s v="ORD0006"/>
    <x v="5"/>
    <m/>
    <d v="2023-11-02T00:00:00"/>
    <s v="CUST009"/>
    <x v="3"/>
    <x v="0"/>
    <n v="58"/>
    <n v="4"/>
    <n v="232"/>
    <x v="3"/>
    <x v="0"/>
    <s v="DHL"/>
    <n v="232"/>
    <s v="OK"/>
    <n v="1"/>
    <m/>
    <x v="0"/>
    <n v="0"/>
    <x v="3"/>
    <x v="2"/>
  </r>
  <r>
    <s v="ORD0007"/>
    <x v="6"/>
    <m/>
    <d v="2023-08-18T00:00:00"/>
    <s v="CUST042"/>
    <x v="4"/>
    <x v="3"/>
    <n v="105"/>
    <n v="3"/>
    <n v="315"/>
    <x v="4"/>
    <x v="0"/>
    <s v="DHL"/>
    <n v="315"/>
    <s v="OK"/>
    <n v="1"/>
    <m/>
    <x v="0"/>
    <n v="0"/>
    <x v="4"/>
    <x v="3"/>
  </r>
  <r>
    <s v="ORD0008"/>
    <x v="7"/>
    <m/>
    <d v="2023-04-06T00:00:00"/>
    <s v="CUST019"/>
    <x v="5"/>
    <x v="4"/>
    <n v="37"/>
    <n v="5"/>
    <n v="185"/>
    <x v="2"/>
    <x v="0"/>
    <s v="DHL"/>
    <n v="185"/>
    <s v="OK"/>
    <n v="1"/>
    <m/>
    <x v="0"/>
    <n v="0"/>
    <x v="5"/>
    <x v="0"/>
  </r>
  <r>
    <s v="ORD0009"/>
    <x v="8"/>
    <m/>
    <m/>
    <s v="CUST013"/>
    <x v="6"/>
    <x v="3"/>
    <n v="44"/>
    <n v="2"/>
    <n v="88"/>
    <x v="1"/>
    <x v="2"/>
    <s v="Amazon Logistics"/>
    <n v="88"/>
    <s v="OK"/>
    <n v="0"/>
    <m/>
    <x v="0"/>
    <n v="0"/>
    <x v="6"/>
    <x v="2"/>
  </r>
  <r>
    <s v="ORD0010"/>
    <x v="9"/>
    <m/>
    <m/>
    <s v="CUST019"/>
    <x v="7"/>
    <x v="2"/>
    <n v="141"/>
    <n v="4"/>
    <n v="564"/>
    <x v="4"/>
    <x v="2"/>
    <s v="DHL"/>
    <n v="564"/>
    <s v="OK"/>
    <n v="0"/>
    <m/>
    <x v="0"/>
    <n v="0"/>
    <x v="7"/>
    <x v="0"/>
  </r>
  <r>
    <s v="ORD0011"/>
    <x v="10"/>
    <m/>
    <d v="2023-05-08T00:00:00"/>
    <s v="CUST046"/>
    <x v="8"/>
    <x v="2"/>
    <n v="249"/>
    <n v="1"/>
    <n v="249"/>
    <x v="3"/>
    <x v="0"/>
    <s v="USPS"/>
    <n v="249"/>
    <s v="OK"/>
    <n v="1"/>
    <m/>
    <x v="0"/>
    <n v="0"/>
    <x v="8"/>
    <x v="3"/>
  </r>
  <r>
    <s v="ORD0012"/>
    <x v="11"/>
    <m/>
    <m/>
    <s v="CUST045"/>
    <x v="8"/>
    <x v="3"/>
    <n v="247"/>
    <n v="3"/>
    <n v="741"/>
    <x v="3"/>
    <x v="2"/>
    <s v="FedEx"/>
    <n v="741"/>
    <s v="OK"/>
    <n v="0"/>
    <m/>
    <x v="0"/>
    <n v="0"/>
    <x v="8"/>
    <x v="3"/>
  </r>
  <r>
    <s v="ORD0013"/>
    <x v="12"/>
    <m/>
    <d v="2023-02-28T00:00:00"/>
    <s v="CUST023"/>
    <x v="9"/>
    <x v="3"/>
    <n v="96"/>
    <n v="1"/>
    <n v="96"/>
    <x v="0"/>
    <x v="0"/>
    <s v="Amazon Logistics"/>
    <n v="96"/>
    <s v="OK"/>
    <n v="1"/>
    <m/>
    <x v="0"/>
    <n v="0"/>
    <x v="9"/>
    <x v="2"/>
  </r>
  <r>
    <s v="ORD0014"/>
    <x v="13"/>
    <m/>
    <d v="2023-02-25T00:00:00"/>
    <s v="CUST033"/>
    <x v="10"/>
    <x v="4"/>
    <n v="74"/>
    <n v="5"/>
    <n v="370"/>
    <x v="0"/>
    <x v="0"/>
    <s v="Amazon Logistics"/>
    <n v="370"/>
    <s v="OK"/>
    <n v="1"/>
    <m/>
    <x v="0"/>
    <n v="0"/>
    <x v="10"/>
    <x v="3"/>
  </r>
  <r>
    <s v="ORD0015"/>
    <x v="14"/>
    <m/>
    <d v="2023-09-02T00:00:00"/>
    <s v="CUST033"/>
    <x v="11"/>
    <x v="2"/>
    <n v="27"/>
    <n v="1"/>
    <n v="27"/>
    <x v="1"/>
    <x v="0"/>
    <s v="Amazon Logistics"/>
    <n v="27"/>
    <s v="OK"/>
    <n v="1"/>
    <m/>
    <x v="0"/>
    <n v="0"/>
    <x v="11"/>
    <x v="2"/>
  </r>
  <r>
    <s v="ORD0016"/>
    <x v="15"/>
    <m/>
    <m/>
    <s v="CUST047"/>
    <x v="11"/>
    <x v="2"/>
    <n v="27"/>
    <n v="3"/>
    <n v="81"/>
    <x v="4"/>
    <x v="2"/>
    <s v="Amazon Logistics"/>
    <n v="81"/>
    <s v="OK"/>
    <n v="0"/>
    <m/>
    <x v="0"/>
    <n v="0"/>
    <x v="11"/>
    <x v="2"/>
  </r>
  <r>
    <s v="ORD0017"/>
    <x v="16"/>
    <d v="2023-07-01T00:00:00"/>
    <m/>
    <s v="CUST045"/>
    <x v="12"/>
    <x v="1"/>
    <n v="21"/>
    <n v="3"/>
    <n v="63"/>
    <x v="1"/>
    <x v="1"/>
    <s v="DHL"/>
    <n v="63"/>
    <s v="OK"/>
    <n v="0"/>
    <n v="3"/>
    <x v="2"/>
    <n v="63"/>
    <x v="12"/>
    <x v="4"/>
  </r>
  <r>
    <s v="ORD0018"/>
    <x v="17"/>
    <m/>
    <m/>
    <s v="CUST011"/>
    <x v="13"/>
    <x v="4"/>
    <n v="70"/>
    <n v="5"/>
    <n v="350"/>
    <x v="2"/>
    <x v="2"/>
    <s v="Amazon Logistics"/>
    <n v="350"/>
    <s v="OK"/>
    <n v="0"/>
    <m/>
    <x v="0"/>
    <n v="0"/>
    <x v="13"/>
    <x v="4"/>
  </r>
  <r>
    <s v="ORD0019"/>
    <x v="18"/>
    <m/>
    <m/>
    <s v="CUST041"/>
    <x v="9"/>
    <x v="2"/>
    <n v="94"/>
    <n v="4"/>
    <n v="376"/>
    <x v="1"/>
    <x v="2"/>
    <s v="USPS"/>
    <n v="376"/>
    <s v="OK"/>
    <n v="0"/>
    <m/>
    <x v="0"/>
    <n v="0"/>
    <x v="9"/>
    <x v="2"/>
  </r>
  <r>
    <s v="ORD0020"/>
    <x v="19"/>
    <m/>
    <m/>
    <s v="CUST025"/>
    <x v="14"/>
    <x v="0"/>
    <n v="813"/>
    <n v="2"/>
    <n v="1626"/>
    <x v="1"/>
    <x v="2"/>
    <s v="FedEx"/>
    <n v="1626"/>
    <s v="OK"/>
    <n v="0"/>
    <m/>
    <x v="0"/>
    <n v="0"/>
    <x v="14"/>
    <x v="3"/>
  </r>
  <r>
    <s v="ORD0021"/>
    <x v="20"/>
    <m/>
    <m/>
    <s v="CUST013"/>
    <x v="12"/>
    <x v="3"/>
    <n v="21"/>
    <n v="4"/>
    <n v="84"/>
    <x v="2"/>
    <x v="2"/>
    <s v="Amazon Logistics"/>
    <n v="84"/>
    <s v="OK"/>
    <n v="0"/>
    <m/>
    <x v="0"/>
    <n v="0"/>
    <x v="12"/>
    <x v="4"/>
  </r>
  <r>
    <s v="ORD0022"/>
    <x v="21"/>
    <m/>
    <m/>
    <s v="CUST023"/>
    <x v="0"/>
    <x v="4"/>
    <n v="46"/>
    <n v="5"/>
    <n v="230"/>
    <x v="2"/>
    <x v="2"/>
    <s v="USPS"/>
    <n v="230"/>
    <s v="OK"/>
    <n v="0"/>
    <m/>
    <x v="0"/>
    <n v="0"/>
    <x v="0"/>
    <x v="0"/>
  </r>
  <r>
    <s v="ORD0023"/>
    <x v="15"/>
    <m/>
    <d v="2023-02-14T00:00:00"/>
    <s v="CUST016"/>
    <x v="3"/>
    <x v="4"/>
    <n v="58"/>
    <n v="3"/>
    <n v="174"/>
    <x v="3"/>
    <x v="0"/>
    <s v="Amazon Logistics"/>
    <n v="174"/>
    <s v="OK"/>
    <n v="1"/>
    <m/>
    <x v="0"/>
    <n v="0"/>
    <x v="3"/>
    <x v="2"/>
  </r>
  <r>
    <s v="ORD0024"/>
    <x v="22"/>
    <d v="2023-11-05T00:00:00"/>
    <m/>
    <s v="CUST028"/>
    <x v="9"/>
    <x v="4"/>
    <n v="96"/>
    <n v="5"/>
    <n v="480"/>
    <x v="3"/>
    <x v="1"/>
    <s v="Amazon Logistics"/>
    <n v="480"/>
    <s v="OK"/>
    <n v="0"/>
    <n v="3"/>
    <x v="2"/>
    <n v="480"/>
    <x v="9"/>
    <x v="2"/>
  </r>
  <r>
    <s v="ORD0025"/>
    <x v="23"/>
    <d v="2023-05-30T00:00:00"/>
    <m/>
    <s v="CUST040"/>
    <x v="15"/>
    <x v="2"/>
    <n v="43"/>
    <n v="1"/>
    <n v="43"/>
    <x v="4"/>
    <x v="1"/>
    <s v="Amazon Logistics"/>
    <n v="43"/>
    <s v="OK"/>
    <n v="0"/>
    <n v="2"/>
    <x v="1"/>
    <n v="43"/>
    <x v="15"/>
    <x v="1"/>
  </r>
  <r>
    <s v="ORD0026"/>
    <x v="24"/>
    <d v="2023-10-21T00:00:00"/>
    <m/>
    <s v="CUST027"/>
    <x v="16"/>
    <x v="2"/>
    <n v="64"/>
    <n v="4"/>
    <n v="256"/>
    <x v="4"/>
    <x v="1"/>
    <s v="USPS"/>
    <n v="256"/>
    <s v="OK"/>
    <n v="0"/>
    <n v="6"/>
    <x v="2"/>
    <n v="256"/>
    <x v="16"/>
    <x v="2"/>
  </r>
  <r>
    <s v="ORD0027"/>
    <x v="25"/>
    <m/>
    <m/>
    <s v="CUST018"/>
    <x v="13"/>
    <x v="2"/>
    <n v="70"/>
    <n v="2"/>
    <n v="140"/>
    <x v="3"/>
    <x v="2"/>
    <s v="Amazon Logistics"/>
    <n v="140"/>
    <s v="OK"/>
    <n v="0"/>
    <m/>
    <x v="0"/>
    <n v="0"/>
    <x v="13"/>
    <x v="4"/>
  </r>
  <r>
    <s v="ORD0028"/>
    <x v="26"/>
    <m/>
    <m/>
    <s v="CUST018"/>
    <x v="1"/>
    <x v="3"/>
    <n v="97"/>
    <n v="3"/>
    <n v="291"/>
    <x v="1"/>
    <x v="2"/>
    <s v="Amazon Logistics"/>
    <n v="291"/>
    <s v="OK"/>
    <n v="0"/>
    <m/>
    <x v="0"/>
    <n v="0"/>
    <x v="1"/>
    <x v="1"/>
  </r>
  <r>
    <s v="ORD0029"/>
    <x v="27"/>
    <m/>
    <d v="2023-10-10T00:00:00"/>
    <s v="CUST007"/>
    <x v="5"/>
    <x v="1"/>
    <n v="37"/>
    <n v="3"/>
    <n v="111"/>
    <x v="0"/>
    <x v="0"/>
    <s v="DHL"/>
    <n v="111"/>
    <s v="OK"/>
    <n v="1"/>
    <m/>
    <x v="0"/>
    <n v="0"/>
    <x v="5"/>
    <x v="0"/>
  </r>
  <r>
    <s v="ORD0030"/>
    <x v="28"/>
    <m/>
    <m/>
    <s v="CUST008"/>
    <x v="13"/>
    <x v="0"/>
    <n v="69"/>
    <n v="5"/>
    <n v="345"/>
    <x v="3"/>
    <x v="2"/>
    <s v="Amazon Logistics"/>
    <n v="345"/>
    <s v="OK"/>
    <n v="0"/>
    <m/>
    <x v="0"/>
    <n v="0"/>
    <x v="13"/>
    <x v="4"/>
  </r>
  <r>
    <s v="ORD0031"/>
    <x v="29"/>
    <m/>
    <m/>
    <s v="CUST014"/>
    <x v="15"/>
    <x v="0"/>
    <n v="42"/>
    <n v="5"/>
    <n v="210"/>
    <x v="3"/>
    <x v="2"/>
    <s v="UPS"/>
    <n v="210"/>
    <s v="OK"/>
    <n v="0"/>
    <m/>
    <x v="0"/>
    <n v="0"/>
    <x v="15"/>
    <x v="1"/>
  </r>
  <r>
    <s v="ORD0032"/>
    <x v="30"/>
    <m/>
    <d v="2023-06-22T00:00:00"/>
    <s v="CUST037"/>
    <x v="17"/>
    <x v="1"/>
    <n v="11"/>
    <n v="5"/>
    <n v="55"/>
    <x v="4"/>
    <x v="0"/>
    <s v="FedEx"/>
    <n v="55"/>
    <s v="OK"/>
    <n v="1"/>
    <m/>
    <x v="0"/>
    <n v="0"/>
    <x v="17"/>
    <x v="4"/>
  </r>
  <r>
    <s v="ORD0033"/>
    <x v="31"/>
    <d v="2023-05-23T00:00:00"/>
    <m/>
    <s v="CUST016"/>
    <x v="11"/>
    <x v="2"/>
    <n v="27"/>
    <n v="2"/>
    <n v="54"/>
    <x v="0"/>
    <x v="1"/>
    <s v="USPS"/>
    <n v="54"/>
    <s v="OK"/>
    <n v="0"/>
    <n v="1"/>
    <x v="1"/>
    <n v="54"/>
    <x v="11"/>
    <x v="2"/>
  </r>
  <r>
    <s v="ORD0034"/>
    <x v="32"/>
    <m/>
    <m/>
    <s v="CUST025"/>
    <x v="12"/>
    <x v="2"/>
    <n v="21"/>
    <n v="1"/>
    <n v="21"/>
    <x v="3"/>
    <x v="2"/>
    <s v="DHL"/>
    <n v="21"/>
    <s v="OK"/>
    <n v="0"/>
    <m/>
    <x v="0"/>
    <n v="0"/>
    <x v="12"/>
    <x v="4"/>
  </r>
  <r>
    <s v="ORD0035"/>
    <x v="33"/>
    <d v="2023-12-26T00:00:00"/>
    <m/>
    <s v="CUST032"/>
    <x v="18"/>
    <x v="2"/>
    <n v="172"/>
    <n v="1"/>
    <n v="172"/>
    <x v="2"/>
    <x v="1"/>
    <s v="USPS"/>
    <n v="172"/>
    <s v="OK"/>
    <n v="0"/>
    <n v="4"/>
    <x v="2"/>
    <n v="172"/>
    <x v="18"/>
    <x v="3"/>
  </r>
  <r>
    <s v="ORD0036"/>
    <x v="34"/>
    <m/>
    <m/>
    <s v="CUST014"/>
    <x v="19"/>
    <x v="0"/>
    <n v="212"/>
    <n v="3"/>
    <n v="636"/>
    <x v="3"/>
    <x v="2"/>
    <s v="UPS"/>
    <n v="636"/>
    <s v="OK"/>
    <n v="0"/>
    <m/>
    <x v="0"/>
    <n v="0"/>
    <x v="19"/>
    <x v="0"/>
  </r>
  <r>
    <s v="ORD0037"/>
    <x v="35"/>
    <d v="2023-10-22T00:00:00"/>
    <m/>
    <s v="CUST044"/>
    <x v="15"/>
    <x v="1"/>
    <n v="41"/>
    <n v="4"/>
    <n v="164"/>
    <x v="1"/>
    <x v="1"/>
    <s v="Amazon Logistics"/>
    <n v="164"/>
    <s v="OK"/>
    <n v="0"/>
    <n v="5"/>
    <x v="2"/>
    <n v="164"/>
    <x v="15"/>
    <x v="1"/>
  </r>
  <r>
    <s v="ORD0038"/>
    <x v="36"/>
    <m/>
    <d v="2023-08-24T00:00:00"/>
    <s v="CUST028"/>
    <x v="20"/>
    <x v="0"/>
    <n v="32"/>
    <n v="2"/>
    <n v="64"/>
    <x v="4"/>
    <x v="0"/>
    <s v="FedEx"/>
    <n v="64"/>
    <s v="OK"/>
    <n v="1"/>
    <m/>
    <x v="0"/>
    <n v="0"/>
    <x v="20"/>
    <x v="1"/>
  </r>
  <r>
    <s v="ORD0039"/>
    <x v="37"/>
    <m/>
    <m/>
    <s v="CUST024"/>
    <x v="16"/>
    <x v="1"/>
    <n v="66"/>
    <n v="2"/>
    <n v="132"/>
    <x v="0"/>
    <x v="2"/>
    <s v="DHL"/>
    <n v="132"/>
    <s v="OK"/>
    <n v="0"/>
    <m/>
    <x v="0"/>
    <n v="0"/>
    <x v="16"/>
    <x v="2"/>
  </r>
  <r>
    <s v="ORD0040"/>
    <x v="38"/>
    <m/>
    <m/>
    <s v="CUST006"/>
    <x v="21"/>
    <x v="1"/>
    <n v="62"/>
    <n v="4"/>
    <n v="248"/>
    <x v="4"/>
    <x v="2"/>
    <s v="UPS"/>
    <n v="248"/>
    <s v="OK"/>
    <n v="0"/>
    <m/>
    <x v="0"/>
    <n v="0"/>
    <x v="21"/>
    <x v="1"/>
  </r>
  <r>
    <s v="ORD0041"/>
    <x v="39"/>
    <d v="2023-09-30T00:00:00"/>
    <m/>
    <s v="CUST001"/>
    <x v="18"/>
    <x v="4"/>
    <n v="173"/>
    <n v="4"/>
    <n v="692"/>
    <x v="0"/>
    <x v="1"/>
    <s v="UPS"/>
    <n v="692"/>
    <s v="OK"/>
    <n v="0"/>
    <n v="7"/>
    <x v="2"/>
    <n v="692"/>
    <x v="18"/>
    <x v="3"/>
  </r>
  <r>
    <s v="ORD0042"/>
    <x v="40"/>
    <d v="2023-07-18T00:00:00"/>
    <m/>
    <s v="CUST007"/>
    <x v="21"/>
    <x v="4"/>
    <n v="63"/>
    <n v="3"/>
    <n v="189"/>
    <x v="0"/>
    <x v="1"/>
    <s v="UPS"/>
    <n v="189"/>
    <s v="OK"/>
    <n v="0"/>
    <n v="2"/>
    <x v="1"/>
    <n v="189"/>
    <x v="21"/>
    <x v="1"/>
  </r>
  <r>
    <s v="ORD0043"/>
    <x v="41"/>
    <m/>
    <d v="2023-02-11T00:00:00"/>
    <s v="CUST040"/>
    <x v="5"/>
    <x v="4"/>
    <n v="36"/>
    <n v="3"/>
    <n v="108"/>
    <x v="4"/>
    <x v="0"/>
    <s v="USPS"/>
    <n v="108"/>
    <s v="OK"/>
    <n v="1"/>
    <m/>
    <x v="0"/>
    <n v="0"/>
    <x v="5"/>
    <x v="0"/>
  </r>
  <r>
    <s v="ORD0044"/>
    <x v="42"/>
    <m/>
    <d v="2023-12-23T00:00:00"/>
    <s v="CUST006"/>
    <x v="21"/>
    <x v="3"/>
    <n v="62"/>
    <n v="1"/>
    <n v="62"/>
    <x v="0"/>
    <x v="0"/>
    <s v="Amazon Logistics"/>
    <n v="62"/>
    <s v="OK"/>
    <n v="1"/>
    <m/>
    <x v="0"/>
    <n v="0"/>
    <x v="21"/>
    <x v="1"/>
  </r>
  <r>
    <s v="ORD0045"/>
    <x v="43"/>
    <m/>
    <d v="2023-06-14T00:00:00"/>
    <s v="CUST042"/>
    <x v="7"/>
    <x v="3"/>
    <n v="137"/>
    <n v="5"/>
    <n v="685"/>
    <x v="3"/>
    <x v="0"/>
    <s v="FedEx"/>
    <n v="685"/>
    <s v="OK"/>
    <n v="1"/>
    <m/>
    <x v="0"/>
    <n v="0"/>
    <x v="7"/>
    <x v="0"/>
  </r>
  <r>
    <s v="ORD0046"/>
    <x v="44"/>
    <d v="2023-12-08T00:00:00"/>
    <m/>
    <s v="CUST039"/>
    <x v="10"/>
    <x v="0"/>
    <n v="73"/>
    <n v="4"/>
    <n v="292"/>
    <x v="1"/>
    <x v="1"/>
    <s v="Amazon Logistics"/>
    <n v="292"/>
    <s v="OK"/>
    <n v="0"/>
    <n v="4"/>
    <x v="2"/>
    <n v="292"/>
    <x v="10"/>
    <x v="3"/>
  </r>
  <r>
    <s v="ORD0047"/>
    <x v="45"/>
    <d v="2023-07-19T00:00:00"/>
    <m/>
    <s v="CUST041"/>
    <x v="4"/>
    <x v="0"/>
    <n v="104"/>
    <n v="1"/>
    <n v="104"/>
    <x v="2"/>
    <x v="1"/>
    <s v="Amazon Logistics"/>
    <n v="104"/>
    <s v="OK"/>
    <n v="0"/>
    <n v="2"/>
    <x v="1"/>
    <n v="104"/>
    <x v="4"/>
    <x v="3"/>
  </r>
  <r>
    <s v="ORD0048"/>
    <x v="46"/>
    <d v="2023-10-24T00:00:00"/>
    <m/>
    <s v="CUST044"/>
    <x v="9"/>
    <x v="1"/>
    <n v="97"/>
    <n v="1"/>
    <n v="97"/>
    <x v="3"/>
    <x v="1"/>
    <s v="FedEx"/>
    <n v="97"/>
    <s v="OK"/>
    <n v="0"/>
    <n v="5"/>
    <x v="2"/>
    <n v="97"/>
    <x v="9"/>
    <x v="2"/>
  </r>
  <r>
    <s v="ORD0049"/>
    <x v="47"/>
    <m/>
    <m/>
    <s v="CUST026"/>
    <x v="10"/>
    <x v="2"/>
    <n v="73"/>
    <n v="5"/>
    <n v="365"/>
    <x v="0"/>
    <x v="2"/>
    <s v="Amazon Logistics"/>
    <n v="365"/>
    <s v="OK"/>
    <n v="0"/>
    <m/>
    <x v="0"/>
    <n v="0"/>
    <x v="10"/>
    <x v="3"/>
  </r>
  <r>
    <s v="ORD0050"/>
    <x v="48"/>
    <d v="2023-02-19T00:00:00"/>
    <m/>
    <s v="CUST040"/>
    <x v="11"/>
    <x v="1"/>
    <n v="27"/>
    <n v="3"/>
    <n v="81"/>
    <x v="3"/>
    <x v="1"/>
    <s v="UPS"/>
    <n v="81"/>
    <s v="OK"/>
    <n v="0"/>
    <n v="7"/>
    <x v="2"/>
    <n v="81"/>
    <x v="11"/>
    <x v="2"/>
  </r>
  <r>
    <s v="ORD0051"/>
    <x v="20"/>
    <m/>
    <m/>
    <s v="CUST041"/>
    <x v="5"/>
    <x v="0"/>
    <n v="37"/>
    <n v="1"/>
    <n v="37"/>
    <x v="0"/>
    <x v="2"/>
    <s v="UPS"/>
    <n v="37"/>
    <s v="OK"/>
    <n v="0"/>
    <m/>
    <x v="0"/>
    <n v="0"/>
    <x v="5"/>
    <x v="0"/>
  </r>
  <r>
    <s v="ORD0052"/>
    <x v="49"/>
    <d v="2023-02-01T00:00:00"/>
    <m/>
    <s v="CUST008"/>
    <x v="12"/>
    <x v="0"/>
    <n v="22"/>
    <n v="1"/>
    <n v="22"/>
    <x v="4"/>
    <x v="1"/>
    <s v="FedEx"/>
    <n v="22"/>
    <s v="OK"/>
    <n v="0"/>
    <n v="2"/>
    <x v="1"/>
    <n v="22"/>
    <x v="12"/>
    <x v="4"/>
  </r>
  <r>
    <s v="ORD0053"/>
    <x v="9"/>
    <d v="2024-01-01T00:00:00"/>
    <m/>
    <s v="CUST011"/>
    <x v="19"/>
    <x v="3"/>
    <n v="218"/>
    <n v="5"/>
    <n v="1090"/>
    <x v="2"/>
    <x v="1"/>
    <s v="DHL"/>
    <n v="1090"/>
    <s v="OK"/>
    <n v="0"/>
    <n v="3"/>
    <x v="2"/>
    <n v="1090"/>
    <x v="19"/>
    <x v="0"/>
  </r>
  <r>
    <s v="ORD0054"/>
    <x v="50"/>
    <m/>
    <d v="2023-03-13T00:00:00"/>
    <s v="CUST018"/>
    <x v="21"/>
    <x v="0"/>
    <n v="64"/>
    <n v="1"/>
    <n v="64"/>
    <x v="0"/>
    <x v="0"/>
    <s v="USPS"/>
    <n v="64"/>
    <s v="OK"/>
    <n v="1"/>
    <m/>
    <x v="0"/>
    <n v="0"/>
    <x v="21"/>
    <x v="1"/>
  </r>
  <r>
    <s v="ORD0055"/>
    <x v="4"/>
    <d v="2023-02-06T00:00:00"/>
    <m/>
    <s v="CUST037"/>
    <x v="5"/>
    <x v="3"/>
    <n v="36"/>
    <n v="4"/>
    <n v="144"/>
    <x v="2"/>
    <x v="1"/>
    <s v="Amazon Logistics"/>
    <n v="144"/>
    <s v="OK"/>
    <n v="0"/>
    <n v="4"/>
    <x v="2"/>
    <n v="144"/>
    <x v="5"/>
    <x v="0"/>
  </r>
  <r>
    <s v="ORD0056"/>
    <x v="51"/>
    <d v="2023-10-21T00:00:00"/>
    <m/>
    <s v="CUST017"/>
    <x v="21"/>
    <x v="4"/>
    <n v="65"/>
    <n v="1"/>
    <n v="65"/>
    <x v="3"/>
    <x v="1"/>
    <s v="FedEx"/>
    <n v="65"/>
    <s v="OK"/>
    <n v="0"/>
    <n v="3"/>
    <x v="2"/>
    <n v="65"/>
    <x v="21"/>
    <x v="1"/>
  </r>
  <r>
    <s v="ORD0057"/>
    <x v="52"/>
    <d v="2023-01-09T00:00:00"/>
    <m/>
    <s v="CUST025"/>
    <x v="11"/>
    <x v="3"/>
    <n v="26"/>
    <n v="1"/>
    <n v="26"/>
    <x v="0"/>
    <x v="1"/>
    <s v="DHL"/>
    <n v="26"/>
    <s v="OK"/>
    <n v="0"/>
    <n v="2"/>
    <x v="1"/>
    <n v="26"/>
    <x v="11"/>
    <x v="2"/>
  </r>
  <r>
    <s v="ORD0058"/>
    <x v="53"/>
    <m/>
    <m/>
    <s v="CUST021"/>
    <x v="17"/>
    <x v="0"/>
    <n v="11"/>
    <n v="5"/>
    <n v="55"/>
    <x v="1"/>
    <x v="2"/>
    <s v="FedEx"/>
    <n v="55"/>
    <s v="OK"/>
    <n v="0"/>
    <m/>
    <x v="0"/>
    <n v="0"/>
    <x v="17"/>
    <x v="4"/>
  </r>
  <r>
    <s v="ORD0059"/>
    <x v="54"/>
    <m/>
    <d v="2023-04-05T00:00:00"/>
    <s v="CUST003"/>
    <x v="2"/>
    <x v="0"/>
    <n v="195"/>
    <n v="4"/>
    <n v="780"/>
    <x v="2"/>
    <x v="0"/>
    <s v="FedEx"/>
    <n v="780"/>
    <s v="OK"/>
    <n v="1"/>
    <m/>
    <x v="0"/>
    <n v="0"/>
    <x v="2"/>
    <x v="0"/>
  </r>
  <r>
    <s v="ORD0060"/>
    <x v="2"/>
    <m/>
    <d v="2023-10-12T00:00:00"/>
    <s v="CUST019"/>
    <x v="6"/>
    <x v="4"/>
    <n v="44"/>
    <n v="5"/>
    <n v="220"/>
    <x v="0"/>
    <x v="0"/>
    <s v="USPS"/>
    <n v="220"/>
    <s v="OK"/>
    <n v="1"/>
    <m/>
    <x v="0"/>
    <n v="0"/>
    <x v="6"/>
    <x v="2"/>
  </r>
  <r>
    <s v="ORD0061"/>
    <x v="55"/>
    <m/>
    <m/>
    <s v="CUST035"/>
    <x v="13"/>
    <x v="1"/>
    <n v="69"/>
    <n v="4"/>
    <n v="276"/>
    <x v="4"/>
    <x v="2"/>
    <s v="DHL"/>
    <n v="276"/>
    <s v="OK"/>
    <n v="0"/>
    <m/>
    <x v="0"/>
    <n v="0"/>
    <x v="13"/>
    <x v="4"/>
  </r>
  <r>
    <s v="ORD0062"/>
    <x v="56"/>
    <d v="2023-11-29T00:00:00"/>
    <m/>
    <s v="CUST022"/>
    <x v="14"/>
    <x v="0"/>
    <n v="815"/>
    <n v="4"/>
    <n v="3260"/>
    <x v="1"/>
    <x v="1"/>
    <s v="USPS"/>
    <n v="3260"/>
    <s v="OK"/>
    <n v="0"/>
    <n v="7"/>
    <x v="2"/>
    <n v="3260"/>
    <x v="14"/>
    <x v="3"/>
  </r>
  <r>
    <s v="ORD0063"/>
    <x v="57"/>
    <m/>
    <m/>
    <s v="CUST004"/>
    <x v="11"/>
    <x v="1"/>
    <n v="27"/>
    <n v="1"/>
    <n v="27"/>
    <x v="4"/>
    <x v="2"/>
    <s v="Amazon Logistics"/>
    <n v="27"/>
    <s v="OK"/>
    <n v="0"/>
    <m/>
    <x v="0"/>
    <n v="0"/>
    <x v="11"/>
    <x v="2"/>
  </r>
  <r>
    <s v="ORD0064"/>
    <x v="38"/>
    <d v="2023-12-29T00:00:00"/>
    <m/>
    <s v="CUST048"/>
    <x v="7"/>
    <x v="4"/>
    <n v="139"/>
    <n v="5"/>
    <n v="695"/>
    <x v="0"/>
    <x v="1"/>
    <s v="USPS"/>
    <n v="695"/>
    <s v="OK"/>
    <n v="0"/>
    <n v="4"/>
    <x v="2"/>
    <n v="695"/>
    <x v="7"/>
    <x v="0"/>
  </r>
  <r>
    <s v="ORD0065"/>
    <x v="51"/>
    <m/>
    <d v="2023-10-20T00:00:00"/>
    <s v="CUST009"/>
    <x v="13"/>
    <x v="2"/>
    <n v="69"/>
    <n v="3"/>
    <n v="207"/>
    <x v="2"/>
    <x v="0"/>
    <s v="Amazon Logistics"/>
    <n v="207"/>
    <s v="OK"/>
    <n v="1"/>
    <m/>
    <x v="0"/>
    <n v="0"/>
    <x v="13"/>
    <x v="4"/>
  </r>
  <r>
    <s v="ORD0066"/>
    <x v="58"/>
    <m/>
    <d v="2023-05-21T00:00:00"/>
    <s v="CUST009"/>
    <x v="6"/>
    <x v="4"/>
    <n v="42"/>
    <n v="1"/>
    <n v="42"/>
    <x v="0"/>
    <x v="0"/>
    <s v="DHL"/>
    <n v="42"/>
    <s v="OK"/>
    <n v="1"/>
    <m/>
    <x v="0"/>
    <n v="0"/>
    <x v="6"/>
    <x v="2"/>
  </r>
  <r>
    <s v="ORD0067"/>
    <x v="59"/>
    <d v="2023-07-30T00:00:00"/>
    <m/>
    <s v="CUST050"/>
    <x v="20"/>
    <x v="0"/>
    <n v="31"/>
    <n v="4"/>
    <n v="124"/>
    <x v="1"/>
    <x v="1"/>
    <s v="UPS"/>
    <n v="124"/>
    <s v="OK"/>
    <n v="0"/>
    <n v="2"/>
    <x v="1"/>
    <n v="124"/>
    <x v="20"/>
    <x v="1"/>
  </r>
  <r>
    <s v="ORD0068"/>
    <x v="42"/>
    <m/>
    <m/>
    <s v="CUST045"/>
    <x v="4"/>
    <x v="4"/>
    <n v="104"/>
    <n v="3"/>
    <n v="312"/>
    <x v="1"/>
    <x v="2"/>
    <s v="UPS"/>
    <n v="312"/>
    <s v="OK"/>
    <n v="0"/>
    <m/>
    <x v="0"/>
    <n v="0"/>
    <x v="4"/>
    <x v="3"/>
  </r>
  <r>
    <s v="ORD0069"/>
    <x v="60"/>
    <m/>
    <d v="2023-07-07T00:00:00"/>
    <s v="CUST044"/>
    <x v="3"/>
    <x v="1"/>
    <n v="58"/>
    <n v="2"/>
    <n v="116"/>
    <x v="0"/>
    <x v="0"/>
    <s v="USPS"/>
    <n v="116"/>
    <s v="OK"/>
    <n v="1"/>
    <m/>
    <x v="0"/>
    <n v="0"/>
    <x v="3"/>
    <x v="2"/>
  </r>
  <r>
    <s v="ORD0070"/>
    <x v="26"/>
    <m/>
    <d v="2023-10-10T00:00:00"/>
    <s v="CUST009"/>
    <x v="21"/>
    <x v="4"/>
    <n v="62"/>
    <n v="2"/>
    <n v="124"/>
    <x v="4"/>
    <x v="0"/>
    <s v="DHL"/>
    <n v="124"/>
    <s v="OK"/>
    <n v="1"/>
    <m/>
    <x v="0"/>
    <n v="0"/>
    <x v="21"/>
    <x v="1"/>
  </r>
  <r>
    <s v="ORD0071"/>
    <x v="42"/>
    <d v="2023-12-25T00:00:00"/>
    <m/>
    <s v="CUST006"/>
    <x v="6"/>
    <x v="1"/>
    <n v="43"/>
    <n v="1"/>
    <n v="43"/>
    <x v="1"/>
    <x v="1"/>
    <s v="Amazon Logistics"/>
    <n v="43"/>
    <s v="OK"/>
    <n v="0"/>
    <n v="7"/>
    <x v="2"/>
    <n v="43"/>
    <x v="6"/>
    <x v="2"/>
  </r>
  <r>
    <s v="ORD0072"/>
    <x v="61"/>
    <m/>
    <m/>
    <s v="CUST022"/>
    <x v="21"/>
    <x v="1"/>
    <n v="62"/>
    <n v="4"/>
    <n v="248"/>
    <x v="4"/>
    <x v="2"/>
    <s v="Amazon Logistics"/>
    <n v="248"/>
    <s v="OK"/>
    <n v="0"/>
    <m/>
    <x v="0"/>
    <n v="0"/>
    <x v="21"/>
    <x v="1"/>
  </r>
  <r>
    <s v="ORD0073"/>
    <x v="62"/>
    <m/>
    <d v="2023-07-25T00:00:00"/>
    <s v="CUST028"/>
    <x v="9"/>
    <x v="0"/>
    <n v="95"/>
    <n v="2"/>
    <n v="190"/>
    <x v="2"/>
    <x v="0"/>
    <s v="UPS"/>
    <n v="190"/>
    <s v="OK"/>
    <n v="1"/>
    <m/>
    <x v="0"/>
    <n v="0"/>
    <x v="9"/>
    <x v="2"/>
  </r>
  <r>
    <s v="ORD0074"/>
    <x v="63"/>
    <d v="2023-01-24T00:00:00"/>
    <m/>
    <s v="CUST016"/>
    <x v="5"/>
    <x v="3"/>
    <n v="36"/>
    <n v="4"/>
    <n v="144"/>
    <x v="0"/>
    <x v="1"/>
    <s v="FedEx"/>
    <n v="144"/>
    <s v="OK"/>
    <n v="0"/>
    <n v="6"/>
    <x v="2"/>
    <n v="144"/>
    <x v="5"/>
    <x v="0"/>
  </r>
  <r>
    <s v="ORD0075"/>
    <x v="64"/>
    <m/>
    <m/>
    <s v="CUST042"/>
    <x v="10"/>
    <x v="1"/>
    <n v="73"/>
    <n v="5"/>
    <n v="365"/>
    <x v="0"/>
    <x v="2"/>
    <s v="DHL"/>
    <n v="365"/>
    <s v="OK"/>
    <n v="0"/>
    <m/>
    <x v="0"/>
    <n v="0"/>
    <x v="10"/>
    <x v="3"/>
  </r>
  <r>
    <s v="ORD0076"/>
    <x v="65"/>
    <d v="2023-09-09T00:00:00"/>
    <m/>
    <s v="CUST023"/>
    <x v="6"/>
    <x v="0"/>
    <n v="43"/>
    <n v="4"/>
    <n v="172"/>
    <x v="4"/>
    <x v="1"/>
    <s v="DHL"/>
    <n v="172"/>
    <s v="OK"/>
    <n v="0"/>
    <n v="6"/>
    <x v="2"/>
    <n v="172"/>
    <x v="6"/>
    <x v="2"/>
  </r>
  <r>
    <s v="ORD0077"/>
    <x v="22"/>
    <d v="2023-11-04T00:00:00"/>
    <m/>
    <s v="CUST004"/>
    <x v="19"/>
    <x v="4"/>
    <n v="214"/>
    <n v="5"/>
    <n v="1070"/>
    <x v="4"/>
    <x v="1"/>
    <s v="UPS"/>
    <n v="1070"/>
    <s v="OK"/>
    <n v="0"/>
    <n v="2"/>
    <x v="1"/>
    <n v="1070"/>
    <x v="19"/>
    <x v="0"/>
  </r>
  <r>
    <s v="ORD0078"/>
    <x v="66"/>
    <m/>
    <d v="2023-12-06T00:00:00"/>
    <s v="CUST048"/>
    <x v="15"/>
    <x v="3"/>
    <n v="42"/>
    <n v="2"/>
    <n v="84"/>
    <x v="0"/>
    <x v="0"/>
    <s v="UPS"/>
    <n v="84"/>
    <s v="OK"/>
    <n v="1"/>
    <m/>
    <x v="0"/>
    <n v="0"/>
    <x v="15"/>
    <x v="1"/>
  </r>
  <r>
    <s v="ORD0079"/>
    <x v="7"/>
    <m/>
    <m/>
    <s v="CUST048"/>
    <x v="0"/>
    <x v="0"/>
    <n v="46"/>
    <n v="1"/>
    <n v="46"/>
    <x v="3"/>
    <x v="2"/>
    <s v="UPS"/>
    <n v="46"/>
    <s v="OK"/>
    <n v="0"/>
    <m/>
    <x v="0"/>
    <n v="0"/>
    <x v="0"/>
    <x v="0"/>
  </r>
  <r>
    <s v="ORD0080"/>
    <x v="67"/>
    <d v="2023-10-19T00:00:00"/>
    <m/>
    <s v="CUST032"/>
    <x v="1"/>
    <x v="1"/>
    <n v="95"/>
    <n v="4"/>
    <n v="380"/>
    <x v="1"/>
    <x v="1"/>
    <s v="UPS"/>
    <n v="380"/>
    <s v="OK"/>
    <n v="0"/>
    <n v="3"/>
    <x v="2"/>
    <n v="380"/>
    <x v="1"/>
    <x v="1"/>
  </r>
  <r>
    <s v="ORD0081"/>
    <x v="68"/>
    <m/>
    <m/>
    <s v="CUST001"/>
    <x v="18"/>
    <x v="4"/>
    <n v="174"/>
    <n v="2"/>
    <n v="348"/>
    <x v="2"/>
    <x v="2"/>
    <s v="UPS"/>
    <n v="348"/>
    <s v="OK"/>
    <n v="0"/>
    <m/>
    <x v="0"/>
    <n v="0"/>
    <x v="18"/>
    <x v="3"/>
  </r>
  <r>
    <s v="ORD0082"/>
    <x v="30"/>
    <m/>
    <d v="2023-06-18T00:00:00"/>
    <s v="CUST046"/>
    <x v="11"/>
    <x v="0"/>
    <n v="27"/>
    <n v="5"/>
    <n v="135"/>
    <x v="1"/>
    <x v="0"/>
    <s v="Amazon Logistics"/>
    <n v="135"/>
    <s v="OK"/>
    <n v="1"/>
    <m/>
    <x v="0"/>
    <n v="0"/>
    <x v="11"/>
    <x v="2"/>
  </r>
  <r>
    <s v="ORD0083"/>
    <x v="69"/>
    <d v="2023-10-30T00:00:00"/>
    <m/>
    <s v="CUST021"/>
    <x v="11"/>
    <x v="2"/>
    <n v="27"/>
    <n v="4"/>
    <n v="108"/>
    <x v="2"/>
    <x v="1"/>
    <s v="USPS"/>
    <n v="108"/>
    <s v="OK"/>
    <n v="0"/>
    <n v="2"/>
    <x v="1"/>
    <n v="108"/>
    <x v="11"/>
    <x v="2"/>
  </r>
  <r>
    <s v="ORD0084"/>
    <x v="33"/>
    <m/>
    <m/>
    <s v="CUST015"/>
    <x v="16"/>
    <x v="2"/>
    <n v="65"/>
    <n v="2"/>
    <n v="130"/>
    <x v="2"/>
    <x v="2"/>
    <s v="DHL"/>
    <n v="130"/>
    <s v="OK"/>
    <n v="0"/>
    <m/>
    <x v="0"/>
    <n v="0"/>
    <x v="16"/>
    <x v="2"/>
  </r>
  <r>
    <s v="ORD0085"/>
    <x v="61"/>
    <m/>
    <m/>
    <s v="CUST045"/>
    <x v="6"/>
    <x v="1"/>
    <n v="43"/>
    <n v="5"/>
    <n v="215"/>
    <x v="4"/>
    <x v="2"/>
    <s v="DHL"/>
    <n v="215"/>
    <s v="OK"/>
    <n v="0"/>
    <m/>
    <x v="0"/>
    <n v="0"/>
    <x v="6"/>
    <x v="2"/>
  </r>
  <r>
    <s v="ORD0086"/>
    <x v="70"/>
    <m/>
    <m/>
    <s v="CUST007"/>
    <x v="19"/>
    <x v="4"/>
    <n v="210"/>
    <n v="1"/>
    <n v="210"/>
    <x v="2"/>
    <x v="2"/>
    <s v="UPS"/>
    <n v="210"/>
    <s v="OK"/>
    <n v="0"/>
    <m/>
    <x v="0"/>
    <n v="0"/>
    <x v="19"/>
    <x v="0"/>
  </r>
  <r>
    <s v="ORD0087"/>
    <x v="56"/>
    <m/>
    <m/>
    <s v="CUST043"/>
    <x v="5"/>
    <x v="2"/>
    <n v="37"/>
    <n v="3"/>
    <n v="111"/>
    <x v="1"/>
    <x v="2"/>
    <s v="UPS"/>
    <n v="111"/>
    <s v="OK"/>
    <n v="0"/>
    <m/>
    <x v="0"/>
    <n v="0"/>
    <x v="5"/>
    <x v="0"/>
  </r>
  <r>
    <s v="ORD0088"/>
    <x v="53"/>
    <m/>
    <m/>
    <s v="CUST007"/>
    <x v="14"/>
    <x v="2"/>
    <n v="788"/>
    <n v="4"/>
    <n v="3152"/>
    <x v="4"/>
    <x v="2"/>
    <s v="Amazon Logistics"/>
    <n v="3152"/>
    <s v="OK"/>
    <n v="0"/>
    <m/>
    <x v="0"/>
    <n v="0"/>
    <x v="14"/>
    <x v="3"/>
  </r>
  <r>
    <s v="ORD0089"/>
    <x v="71"/>
    <m/>
    <m/>
    <s v="CUST007"/>
    <x v="19"/>
    <x v="4"/>
    <n v="217"/>
    <n v="5"/>
    <n v="1085"/>
    <x v="4"/>
    <x v="2"/>
    <s v="FedEx"/>
    <n v="1085"/>
    <s v="OK"/>
    <n v="0"/>
    <m/>
    <x v="0"/>
    <n v="0"/>
    <x v="19"/>
    <x v="0"/>
  </r>
  <r>
    <s v="ORD0090"/>
    <x v="63"/>
    <m/>
    <m/>
    <s v="CUST007"/>
    <x v="7"/>
    <x v="4"/>
    <n v="138"/>
    <n v="4"/>
    <n v="552"/>
    <x v="1"/>
    <x v="2"/>
    <s v="FedEx"/>
    <n v="552"/>
    <s v="OK"/>
    <n v="0"/>
    <m/>
    <x v="0"/>
    <n v="0"/>
    <x v="7"/>
    <x v="0"/>
  </r>
  <r>
    <s v="ORD0091"/>
    <x v="72"/>
    <d v="2023-06-29T00:00:00"/>
    <m/>
    <s v="CUST031"/>
    <x v="14"/>
    <x v="3"/>
    <n v="803"/>
    <n v="2"/>
    <n v="1606"/>
    <x v="0"/>
    <x v="1"/>
    <s v="FedEx"/>
    <n v="1606"/>
    <s v="OK"/>
    <n v="0"/>
    <n v="6"/>
    <x v="2"/>
    <n v="1606"/>
    <x v="14"/>
    <x v="3"/>
  </r>
  <r>
    <s v="ORD0092"/>
    <x v="73"/>
    <m/>
    <d v="2023-02-25T00:00:00"/>
    <s v="CUST013"/>
    <x v="8"/>
    <x v="0"/>
    <n v="248"/>
    <n v="5"/>
    <n v="1240"/>
    <x v="2"/>
    <x v="0"/>
    <s v="UPS"/>
    <n v="1240"/>
    <s v="OK"/>
    <n v="1"/>
    <m/>
    <x v="0"/>
    <n v="0"/>
    <x v="8"/>
    <x v="3"/>
  </r>
  <r>
    <s v="ORD0093"/>
    <x v="74"/>
    <d v="2023-02-21T00:00:00"/>
    <m/>
    <s v="CUST036"/>
    <x v="19"/>
    <x v="1"/>
    <n v="210"/>
    <n v="3"/>
    <n v="630"/>
    <x v="0"/>
    <x v="1"/>
    <s v="DHL"/>
    <n v="630"/>
    <s v="OK"/>
    <n v="0"/>
    <n v="2"/>
    <x v="1"/>
    <n v="630"/>
    <x v="19"/>
    <x v="0"/>
  </r>
  <r>
    <s v="ORD0094"/>
    <x v="75"/>
    <m/>
    <d v="2023-12-12T00:00:00"/>
    <s v="CUST013"/>
    <x v="21"/>
    <x v="0"/>
    <n v="62"/>
    <n v="2"/>
    <n v="124"/>
    <x v="1"/>
    <x v="0"/>
    <s v="FedEx"/>
    <n v="124"/>
    <s v="OK"/>
    <n v="1"/>
    <m/>
    <x v="0"/>
    <n v="0"/>
    <x v="21"/>
    <x v="1"/>
  </r>
  <r>
    <s v="ORD0095"/>
    <x v="76"/>
    <m/>
    <d v="2023-06-12T00:00:00"/>
    <s v="CUST043"/>
    <x v="17"/>
    <x v="2"/>
    <n v="11"/>
    <n v="5"/>
    <n v="55"/>
    <x v="4"/>
    <x v="0"/>
    <s v="Amazon Logistics"/>
    <n v="55"/>
    <s v="OK"/>
    <n v="1"/>
    <m/>
    <x v="0"/>
    <n v="0"/>
    <x v="17"/>
    <x v="4"/>
  </r>
  <r>
    <s v="ORD0096"/>
    <x v="77"/>
    <d v="2023-07-12T00:00:00"/>
    <m/>
    <s v="CUST017"/>
    <x v="12"/>
    <x v="0"/>
    <n v="21"/>
    <n v="2"/>
    <n v="42"/>
    <x v="3"/>
    <x v="1"/>
    <s v="UPS"/>
    <n v="42"/>
    <s v="OK"/>
    <n v="0"/>
    <n v="3"/>
    <x v="2"/>
    <n v="42"/>
    <x v="12"/>
    <x v="4"/>
  </r>
  <r>
    <s v="ORD0097"/>
    <x v="78"/>
    <d v="2023-12-26T00:00:00"/>
    <m/>
    <s v="CUST023"/>
    <x v="1"/>
    <x v="4"/>
    <n v="95"/>
    <n v="5"/>
    <n v="475"/>
    <x v="3"/>
    <x v="1"/>
    <s v="Amazon Logistics"/>
    <n v="475"/>
    <s v="OK"/>
    <n v="0"/>
    <n v="3"/>
    <x v="2"/>
    <n v="475"/>
    <x v="1"/>
    <x v="1"/>
  </r>
  <r>
    <s v="ORD0098"/>
    <x v="79"/>
    <d v="2023-09-30T00:00:00"/>
    <m/>
    <s v="CUST044"/>
    <x v="19"/>
    <x v="2"/>
    <n v="215"/>
    <n v="2"/>
    <n v="430"/>
    <x v="2"/>
    <x v="1"/>
    <s v="Amazon Logistics"/>
    <n v="430"/>
    <s v="OK"/>
    <n v="0"/>
    <n v="5"/>
    <x v="2"/>
    <n v="430"/>
    <x v="19"/>
    <x v="0"/>
  </r>
  <r>
    <s v="ORD0099"/>
    <x v="63"/>
    <m/>
    <d v="2023-01-24T00:00:00"/>
    <s v="CUST034"/>
    <x v="6"/>
    <x v="4"/>
    <n v="43"/>
    <n v="5"/>
    <n v="215"/>
    <x v="1"/>
    <x v="0"/>
    <s v="UPS"/>
    <n v="215"/>
    <s v="OK"/>
    <n v="1"/>
    <m/>
    <x v="0"/>
    <n v="0"/>
    <x v="6"/>
    <x v="2"/>
  </r>
  <r>
    <s v="ORD0100"/>
    <x v="80"/>
    <m/>
    <m/>
    <s v="CUST009"/>
    <x v="15"/>
    <x v="4"/>
    <n v="42"/>
    <n v="4"/>
    <n v="168"/>
    <x v="4"/>
    <x v="2"/>
    <s v="DHL"/>
    <n v="168"/>
    <s v="OK"/>
    <n v="0"/>
    <m/>
    <x v="0"/>
    <n v="0"/>
    <x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DBF92-1B16-4C87-AB60-22D41296782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G10" firstHeaderRow="1" firstDataRow="2" firstDataCol="1" rowPageCount="1" colPageCount="1"/>
  <pivotFields count="23">
    <pivotField showAll="0"/>
    <pivotField numFmtId="16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Col"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showAll="0"/>
    <pivotField axis="axisRow" showAll="0">
      <items count="6">
        <item x="4"/>
        <item x="3"/>
        <item x="2"/>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0"/>
  </rowFields>
  <rowItems count="6">
    <i>
      <x/>
    </i>
    <i>
      <x v="1"/>
    </i>
    <i>
      <x v="2"/>
    </i>
    <i>
      <x v="3"/>
    </i>
    <i>
      <x v="4"/>
    </i>
    <i t="grand">
      <x/>
    </i>
  </rowItems>
  <colFields count="1">
    <field x="6"/>
  </colFields>
  <colItems count="6">
    <i>
      <x/>
    </i>
    <i>
      <x v="1"/>
    </i>
    <i>
      <x v="2"/>
    </i>
    <i>
      <x v="3"/>
    </i>
    <i>
      <x v="4"/>
    </i>
    <i t="grand">
      <x/>
    </i>
  </colItems>
  <pageFields count="1">
    <pageField fld="10" hier="-1"/>
  </pageFields>
  <dataFields count="1">
    <dataField name="Sum of Effective Sales" fld="18" baseField="0" baseItem="0"/>
  </dataFields>
  <formats count="3">
    <format dxfId="81">
      <pivotArea outline="0" collapsedLevelsAreSubtotals="1" fieldPosition="0"/>
    </format>
    <format dxfId="80">
      <pivotArea dataOnly="0" labelOnly="1" fieldPosition="0">
        <references count="1">
          <reference field="6" count="0"/>
        </references>
      </pivotArea>
    </format>
    <format dxfId="79">
      <pivotArea dataOnly="0" labelOnly="1" grandCol="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230"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A225F-469C-43B1-96F3-D172DF14B02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E3" firstHeaderRow="1" firstDataRow="2" firstDataCol="1"/>
  <pivotFields count="23">
    <pivotField dataField="1" showAll="0"/>
    <pivotField numFmtId="16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17"/>
  </colFields>
  <colItems count="4">
    <i>
      <x/>
    </i>
    <i>
      <x v="1"/>
    </i>
    <i>
      <x v="2"/>
    </i>
    <i t="grand">
      <x/>
    </i>
  </colItems>
  <dataFields count="1">
    <dataField name="Count of Order ID" fld="0" subtotal="count" baseField="0" baseItem="0"/>
  </dataFields>
  <formats count="3">
    <format dxfId="78">
      <pivotArea outline="0" collapsedLevelsAreSubtotals="1" fieldPosition="0"/>
    </format>
    <format dxfId="77">
      <pivotArea dataOnly="0" labelOnly="1" fieldPosition="0">
        <references count="1">
          <reference field="17" count="0"/>
        </references>
      </pivotArea>
    </format>
    <format dxfId="76">
      <pivotArea dataOnly="0" labelOnly="1" grandCol="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FC2BEE-0007-4BC5-ACF2-50349AD0380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4:G6" firstHeaderRow="1" firstDataRow="2" firstDataCol="1" rowPageCount="2" colPageCount="1"/>
  <pivotFields count="23">
    <pivotField showAll="0"/>
    <pivotField numFmtId="16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Col"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axis="axisPage" showAll="0">
      <items count="6">
        <item x="4"/>
        <item x="3"/>
        <item x="2"/>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6"/>
  </colFields>
  <colItems count="6">
    <i>
      <x/>
    </i>
    <i>
      <x v="1"/>
    </i>
    <i>
      <x v="2"/>
    </i>
    <i>
      <x v="3"/>
    </i>
    <i>
      <x v="4"/>
    </i>
    <i t="grand">
      <x/>
    </i>
  </colItems>
  <pageFields count="2">
    <pageField fld="20" hier="-1"/>
    <pageField fld="10" hier="-1"/>
  </pageFields>
  <dataFields count="1">
    <dataField name="Average of Delivery Time (Days)" fld="16" subtotal="average" baseField="6" baseItem="0"/>
  </dataFields>
  <formats count="3">
    <format dxfId="75">
      <pivotArea outline="0" collapsedLevelsAreSubtotals="1" fieldPosition="0"/>
    </format>
    <format dxfId="74">
      <pivotArea dataOnly="0" labelOnly="1" fieldPosition="0">
        <references count="1">
          <reference field="6" count="0"/>
        </references>
      </pivotArea>
    </format>
    <format dxfId="73">
      <pivotArea dataOnly="0" labelOnly="1" grandCol="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FBA73E-CA5A-4F54-AD02-53A874AFFE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E27" firstHeaderRow="1" firstDataRow="2" firstDataCol="1" rowPageCount="1" colPageCount="1"/>
  <pivotFields count="23">
    <pivotField dataField="1" showAll="0"/>
    <pivotField numFmtId="16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defaultSubtotal="0"/>
    <pivotField showAll="0" defaultSubtotal="0">
      <items count="4">
        <item x="0"/>
        <item x="1"/>
        <item x="2"/>
        <item x="3"/>
      </items>
    </pivotField>
  </pivotFields>
  <rowItems count="1">
    <i/>
  </rowItems>
  <colFields count="1">
    <field x="17"/>
  </colFields>
  <colItems count="4">
    <i>
      <x/>
    </i>
    <i>
      <x v="1"/>
    </i>
    <i>
      <x v="2"/>
    </i>
    <i t="grand">
      <x/>
    </i>
  </colItems>
  <pageFields count="1">
    <pageField fld="11" hier="-1"/>
  </pageFields>
  <dataFields count="1">
    <dataField name="Count of Order ID" fld="0" subtotal="count" baseField="0" baseItem="0"/>
  </dataFields>
  <formats count="3">
    <format dxfId="66">
      <pivotArea outline="0" collapsedLevelsAreSubtotals="1" fieldPosition="0"/>
    </format>
    <format dxfId="65">
      <pivotArea dataOnly="0" labelOnly="1" fieldPosition="0">
        <references count="1">
          <reference field="17" count="0"/>
        </references>
      </pivotArea>
    </format>
    <format dxfId="64">
      <pivotArea dataOnly="0" labelOnly="1" grandCol="1" outline="0" fieldPosition="0"/>
    </format>
  </formats>
  <chartFormats count="3">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81CF5F-A538-4EDE-950B-D80C7F2E55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3">
    <pivotField showAll="0"/>
    <pivotField numFmtId="16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4">
        <item x="0"/>
        <item x="1"/>
        <item x="2"/>
        <item x="3"/>
      </items>
    </pivotField>
  </pivotFields>
  <rowItems count="1">
    <i/>
  </rowItems>
  <colItems count="1">
    <i/>
  </colItems>
  <dataFields count="1">
    <dataField name="Sum of Effective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0CD7A1-F818-4501-9B1C-F6C7A7B7C7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1:X73" firstHeaderRow="1" firstDataRow="2" firstDataCol="1"/>
  <pivotFields count="23">
    <pivotField showAll="0"/>
    <pivotField numFmtId="16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sortType="descending">
      <items count="23">
        <item x="14"/>
        <item x="15"/>
        <item x="7"/>
        <item x="21"/>
        <item x="11"/>
        <item x="9"/>
        <item x="20"/>
        <item x="13"/>
        <item x="17"/>
        <item x="3"/>
        <item x="18"/>
        <item x="0"/>
        <item x="2"/>
        <item x="8"/>
        <item x="12"/>
        <item x="19"/>
        <item x="10"/>
        <item x="1"/>
        <item x="6"/>
        <item x="4"/>
        <item x="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Items count="1">
    <i/>
  </rowItems>
  <colFields count="1">
    <field x="19"/>
  </colFields>
  <colItems count="23">
    <i>
      <x v="16"/>
    </i>
    <i>
      <x v="4"/>
    </i>
    <i>
      <x v="5"/>
    </i>
    <i>
      <x v="8"/>
    </i>
    <i>
      <x v="3"/>
    </i>
    <i>
      <x v="15"/>
    </i>
    <i>
      <x v="7"/>
    </i>
    <i>
      <x v="21"/>
    </i>
    <i>
      <x v="19"/>
    </i>
    <i>
      <x v="1"/>
    </i>
    <i>
      <x v="11"/>
    </i>
    <i>
      <x v="6"/>
    </i>
    <i>
      <x/>
    </i>
    <i>
      <x v="13"/>
    </i>
    <i>
      <x v="14"/>
    </i>
    <i>
      <x v="2"/>
    </i>
    <i>
      <x v="9"/>
    </i>
    <i>
      <x v="20"/>
    </i>
    <i>
      <x v="12"/>
    </i>
    <i>
      <x v="17"/>
    </i>
    <i>
      <x v="18"/>
    </i>
    <i>
      <x v="10"/>
    </i>
    <i t="grand">
      <x/>
    </i>
  </colItems>
  <dataFields count="1">
    <dataField name="Sum of Effective Sales" fld="18" baseField="0" baseItem="0"/>
  </dataFields>
  <formats count="3">
    <format dxfId="69">
      <pivotArea outline="0" collapsedLevelsAreSubtotals="1" fieldPosition="0"/>
    </format>
    <format dxfId="68">
      <pivotArea dataOnly="0" labelOnly="1" fieldPosition="0">
        <references count="1">
          <reference field="19" count="0"/>
        </references>
      </pivotArea>
    </format>
    <format dxfId="67">
      <pivotArea dataOnly="0" labelOnly="1" grandCol="1" outline="0" fieldPosition="0"/>
    </format>
  </formats>
  <chartFormats count="23">
    <chartFormat chart="0" format="22" series="1">
      <pivotArea type="data" outline="0" fieldPosition="0">
        <references count="1">
          <reference field="4294967294" count="1" selected="0">
            <x v="0"/>
          </reference>
        </references>
      </pivotArea>
    </chartFormat>
    <chartFormat chart="0" format="23" series="1">
      <pivotArea type="data" outline="0" fieldPosition="0">
        <references count="2">
          <reference field="4294967294" count="1" selected="0">
            <x v="0"/>
          </reference>
          <reference field="19" count="1" selected="0">
            <x v="1"/>
          </reference>
        </references>
      </pivotArea>
    </chartFormat>
    <chartFormat chart="0" format="24" series="1">
      <pivotArea type="data" outline="0" fieldPosition="0">
        <references count="2">
          <reference field="4294967294" count="1" selected="0">
            <x v="0"/>
          </reference>
          <reference field="19" count="1" selected="0">
            <x v="2"/>
          </reference>
        </references>
      </pivotArea>
    </chartFormat>
    <chartFormat chart="0" format="25" series="1">
      <pivotArea type="data" outline="0" fieldPosition="0">
        <references count="2">
          <reference field="4294967294" count="1" selected="0">
            <x v="0"/>
          </reference>
          <reference field="19" count="1" selected="0">
            <x v="3"/>
          </reference>
        </references>
      </pivotArea>
    </chartFormat>
    <chartFormat chart="0" format="26" series="1">
      <pivotArea type="data" outline="0" fieldPosition="0">
        <references count="2">
          <reference field="4294967294" count="1" selected="0">
            <x v="0"/>
          </reference>
          <reference field="19" count="1" selected="0">
            <x v="4"/>
          </reference>
        </references>
      </pivotArea>
    </chartFormat>
    <chartFormat chart="0" format="27" series="1">
      <pivotArea type="data" outline="0" fieldPosition="0">
        <references count="2">
          <reference field="4294967294" count="1" selected="0">
            <x v="0"/>
          </reference>
          <reference field="19" count="1" selected="0">
            <x v="5"/>
          </reference>
        </references>
      </pivotArea>
    </chartFormat>
    <chartFormat chart="0" format="28" series="1">
      <pivotArea type="data" outline="0" fieldPosition="0">
        <references count="2">
          <reference field="4294967294" count="1" selected="0">
            <x v="0"/>
          </reference>
          <reference field="19" count="1" selected="0">
            <x v="6"/>
          </reference>
        </references>
      </pivotArea>
    </chartFormat>
    <chartFormat chart="0" format="29" series="1">
      <pivotArea type="data" outline="0" fieldPosition="0">
        <references count="2">
          <reference field="4294967294" count="1" selected="0">
            <x v="0"/>
          </reference>
          <reference field="19" count="1" selected="0">
            <x v="7"/>
          </reference>
        </references>
      </pivotArea>
    </chartFormat>
    <chartFormat chart="0" format="30" series="1">
      <pivotArea type="data" outline="0" fieldPosition="0">
        <references count="2">
          <reference field="4294967294" count="1" selected="0">
            <x v="0"/>
          </reference>
          <reference field="19" count="1" selected="0">
            <x v="8"/>
          </reference>
        </references>
      </pivotArea>
    </chartFormat>
    <chartFormat chart="0" format="31" series="1">
      <pivotArea type="data" outline="0" fieldPosition="0">
        <references count="2">
          <reference field="4294967294" count="1" selected="0">
            <x v="0"/>
          </reference>
          <reference field="19" count="1" selected="0">
            <x v="9"/>
          </reference>
        </references>
      </pivotArea>
    </chartFormat>
    <chartFormat chart="0" format="32" series="1">
      <pivotArea type="data" outline="0" fieldPosition="0">
        <references count="2">
          <reference field="4294967294" count="1" selected="0">
            <x v="0"/>
          </reference>
          <reference field="19" count="1" selected="0">
            <x v="10"/>
          </reference>
        </references>
      </pivotArea>
    </chartFormat>
    <chartFormat chart="0" format="33" series="1">
      <pivotArea type="data" outline="0" fieldPosition="0">
        <references count="2">
          <reference field="4294967294" count="1" selected="0">
            <x v="0"/>
          </reference>
          <reference field="19" count="1" selected="0">
            <x v="11"/>
          </reference>
        </references>
      </pivotArea>
    </chartFormat>
    <chartFormat chart="0" format="34" series="1">
      <pivotArea type="data" outline="0" fieldPosition="0">
        <references count="2">
          <reference field="4294967294" count="1" selected="0">
            <x v="0"/>
          </reference>
          <reference field="19" count="1" selected="0">
            <x v="12"/>
          </reference>
        </references>
      </pivotArea>
    </chartFormat>
    <chartFormat chart="0" format="35" series="1">
      <pivotArea type="data" outline="0" fieldPosition="0">
        <references count="2">
          <reference field="4294967294" count="1" selected="0">
            <x v="0"/>
          </reference>
          <reference field="19" count="1" selected="0">
            <x v="13"/>
          </reference>
        </references>
      </pivotArea>
    </chartFormat>
    <chartFormat chart="0" format="36" series="1">
      <pivotArea type="data" outline="0" fieldPosition="0">
        <references count="2">
          <reference field="4294967294" count="1" selected="0">
            <x v="0"/>
          </reference>
          <reference field="19" count="1" selected="0">
            <x v="14"/>
          </reference>
        </references>
      </pivotArea>
    </chartFormat>
    <chartFormat chart="0" format="37" series="1">
      <pivotArea type="data" outline="0" fieldPosition="0">
        <references count="2">
          <reference field="4294967294" count="1" selected="0">
            <x v="0"/>
          </reference>
          <reference field="19" count="1" selected="0">
            <x v="15"/>
          </reference>
        </references>
      </pivotArea>
    </chartFormat>
    <chartFormat chart="0" format="38" series="1">
      <pivotArea type="data" outline="0" fieldPosition="0">
        <references count="2">
          <reference field="4294967294" count="1" selected="0">
            <x v="0"/>
          </reference>
          <reference field="19" count="1" selected="0">
            <x v="16"/>
          </reference>
        </references>
      </pivotArea>
    </chartFormat>
    <chartFormat chart="0" format="39" series="1">
      <pivotArea type="data" outline="0" fieldPosition="0">
        <references count="2">
          <reference field="4294967294" count="1" selected="0">
            <x v="0"/>
          </reference>
          <reference field="19" count="1" selected="0">
            <x v="17"/>
          </reference>
        </references>
      </pivotArea>
    </chartFormat>
    <chartFormat chart="0" format="40" series="1">
      <pivotArea type="data" outline="0" fieldPosition="0">
        <references count="2">
          <reference field="4294967294" count="1" selected="0">
            <x v="0"/>
          </reference>
          <reference field="19" count="1" selected="0">
            <x v="18"/>
          </reference>
        </references>
      </pivotArea>
    </chartFormat>
    <chartFormat chart="0" format="41" series="1">
      <pivotArea type="data" outline="0" fieldPosition="0">
        <references count="2">
          <reference field="4294967294" count="1" selected="0">
            <x v="0"/>
          </reference>
          <reference field="19" count="1" selected="0">
            <x v="19"/>
          </reference>
        </references>
      </pivotArea>
    </chartFormat>
    <chartFormat chart="0" format="42" series="1">
      <pivotArea type="data" outline="0" fieldPosition="0">
        <references count="2">
          <reference field="4294967294" count="1" selected="0">
            <x v="0"/>
          </reference>
          <reference field="19" count="1" selected="0">
            <x v="20"/>
          </reference>
        </references>
      </pivotArea>
    </chartFormat>
    <chartFormat chart="0" format="43" series="1">
      <pivotArea type="data" outline="0" fieldPosition="0">
        <references count="2">
          <reference field="4294967294" count="1" selected="0">
            <x v="0"/>
          </reference>
          <reference field="19" count="1" selected="0">
            <x v="21"/>
          </reference>
        </references>
      </pivotArea>
    </chartFormat>
    <chartFormat chart="0" format="44"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CE054B-FD8A-4209-81F3-502BC74F8B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0:G52" firstHeaderRow="1" firstDataRow="2" firstDataCol="1"/>
  <pivotFields count="23">
    <pivotField showAll="0"/>
    <pivotField numFmtId="16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Col"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4">
        <item x="0"/>
        <item x="1"/>
        <item x="2"/>
        <item x="3"/>
      </items>
    </pivotField>
  </pivotFields>
  <rowItems count="1">
    <i/>
  </rowItems>
  <colFields count="1">
    <field x="6"/>
  </colFields>
  <colItems count="6">
    <i>
      <x v="2"/>
    </i>
    <i>
      <x v="4"/>
    </i>
    <i>
      <x/>
    </i>
    <i>
      <x v="1"/>
    </i>
    <i>
      <x v="3"/>
    </i>
    <i t="grand">
      <x/>
    </i>
  </colItems>
  <dataFields count="1">
    <dataField name="Sum of Effective Sales" fld="18" baseField="0" baseItem="0"/>
  </dataFields>
  <formats count="3">
    <format dxfId="72">
      <pivotArea outline="0" collapsedLevelsAreSubtotals="1" fieldPosition="0"/>
    </format>
    <format dxfId="71">
      <pivotArea dataOnly="0" labelOnly="1" fieldPosition="0">
        <references count="1">
          <reference field="6" count="0"/>
        </references>
      </pivotArea>
    </format>
    <format dxfId="70">
      <pivotArea dataOnly="0" labelOnly="1" grandCol="1" outline="0" fieldPosition="0"/>
    </format>
  </format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1613DA-38E0-4D00-85C1-31F4A7075685}" sourceName="Region">
  <pivotTables>
    <pivotTable tabId="12" name="PivotTable1"/>
    <pivotTable tabId="13" name="PivotTable1"/>
    <pivotTable tabId="14" name="PivotTable2"/>
    <pivotTable tabId="16" name="PivotTable1"/>
    <pivotTable tabId="16" name="PivotTable2"/>
    <pivotTable tabId="16" name="PivotTable3"/>
  </pivotTables>
  <data>
    <tabular pivotCacheId="1442539426">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E40CB40-7218-4161-8980-F833E3F7ACA5}" sourceName="Payment Method">
  <pivotTables>
    <pivotTable tabId="12" name="PivotTable1"/>
    <pivotTable tabId="13" name="PivotTable1"/>
    <pivotTable tabId="14" name="PivotTable2"/>
    <pivotTable tabId="16" name="PivotTable1"/>
    <pivotTable tabId="16" name="PivotTable2"/>
    <pivotTable tabId="16" name="PivotTable3"/>
  </pivotTables>
  <data>
    <tabular pivotCacheId="1442539426">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912EBC17-3F46-4517-B2D7-0CD130C204EA}" sourceName="Delivery Status">
  <pivotTables>
    <pivotTable tabId="12" name="PivotTable1"/>
    <pivotTable tabId="13" name="PivotTable1"/>
    <pivotTable tabId="14" name="PivotTable2"/>
    <pivotTable tabId="16" name="PivotTable1"/>
    <pivotTable tabId="16" name="PivotTable2"/>
    <pivotTable tabId="16" name="PivotTable3"/>
  </pivotTables>
  <data>
    <tabular pivotCacheId="14425394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DE33880-8BF1-46DC-89EB-98B8364FAA4C}" cache="Slicer_Region" caption="Region" rowHeight="234950"/>
  <slicer name="Payment Method" xr10:uid="{65D499F0-8325-4A81-8C26-2C82934D4942}" cache="Slicer_Payment_Method" caption="Payment Method" rowHeight="234950"/>
  <slicer name="Delivery Status" xr10:uid="{BF296047-E30E-4FF7-BE05-B68256E4CE35}" cache="Slicer_Delivery_Status" caption="Delivery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C77A5-3EE6-4F78-9D05-F9D405E00ADA}" name="SalesTbl" displayName="SalesTbl" ref="A1:V101" totalsRowShown="0" headerRowDxfId="63" dataDxfId="61" headerRowBorderDxfId="62" tableBorderDxfId="60">
  <autoFilter ref="A1:V101" xr:uid="{794C77A5-3EE6-4F78-9D05-F9D405E00ADA}"/>
  <tableColumns count="22">
    <tableColumn id="1" xr3:uid="{B01FDFE6-7F21-4118-9CA4-2F7C53051287}" name="Order ID" dataDxfId="59"/>
    <tableColumn id="2" xr3:uid="{A5EF100C-1E15-40BC-B3AF-D82CD873EAC4}" name="Order Date" dataDxfId="58"/>
    <tableColumn id="3" xr3:uid="{C3F714FC-5DE2-41D7-A578-DE0738BB09FD}" name="Delivery Date" dataDxfId="57"/>
    <tableColumn id="4" xr3:uid="{70B20AA1-39CA-4361-A1DD-3CCBDD46D814}" name="Cancel Date" dataDxfId="56"/>
    <tableColumn id="5" xr3:uid="{3FDBBAC5-4DF6-46FB-A1AC-AA4C579D5C24}" name="Customer ID" dataDxfId="55"/>
    <tableColumn id="6" xr3:uid="{94F8572B-13CD-41F4-B05F-61D4CA027A7F}" name="Product ID" dataDxfId="54"/>
    <tableColumn id="7" xr3:uid="{ADA320BE-915D-452D-B37B-F7A67B485DE0}" name="Region" dataDxfId="53"/>
    <tableColumn id="8" xr3:uid="{FEDA6CC4-AC58-4981-8A4F-55150044DEB1}" name="Sale Price/Unit" dataDxfId="52"/>
    <tableColumn id="9" xr3:uid="{6B02360D-3F2A-423C-805C-4BDA5B29BDC5}" name="Quantity" dataDxfId="51"/>
    <tableColumn id="10" xr3:uid="{9B76EC04-95B6-4323-8B65-CCB1C6208955}" name="Total Amount" dataDxfId="50"/>
    <tableColumn id="11" xr3:uid="{74AAB9F2-ABFF-4E41-B1B0-0D2F4C68A94F}" name="Payment Method" dataDxfId="49"/>
    <tableColumn id="12" xr3:uid="{1E521C6A-BB37-4B3F-BA1A-F46FFC893643}" name="Delivery Status" dataDxfId="48"/>
    <tableColumn id="13" xr3:uid="{B5CFC40D-39ED-4B13-8258-43E78671404B}" name="Fulfillment Partner" dataDxfId="47"/>
    <tableColumn id="14" xr3:uid="{9EE19F09-1DC4-4807-AFE5-364AF4A6D816}" name="Calc Amount" dataDxfId="46"/>
    <tableColumn id="15" xr3:uid="{CCE534D9-72CC-4A05-98FD-39C830E5AF2C}" name="Amount Match Flag" dataDxfId="45"/>
    <tableColumn id="16" xr3:uid="{8BE00078-5DB6-43FE-9FC5-E9473EDE3F0D}" name="Is Cancelled" dataDxfId="44"/>
    <tableColumn id="17" xr3:uid="{AA6179B3-BD13-489C-AE31-D28F919E431A}" name="Delivery Time (Days)" dataDxfId="43"/>
    <tableColumn id="18" xr3:uid="{64FC9CED-7073-48CC-A006-EC36F5C463D7}" name="Delivery Performance" dataDxfId="42"/>
    <tableColumn id="19" xr3:uid="{0707050F-417F-4839-9A01-45264A28C7F0}" name="Effective Sales" dataDxfId="41"/>
    <tableColumn id="20" xr3:uid="{AC056565-907F-404B-AA5C-F763D765C334}" name="Product Name" dataDxfId="40"/>
    <tableColumn id="21" xr3:uid="{C33A8F44-91B3-41C9-8354-94F437B88E00}" name="Category" dataDxfId="39"/>
    <tableColumn id="22" xr3:uid="{6F097B26-3CDE-46D9-9DE6-20110ED1756B}" name="Customer Name" dataDxfId="38">
      <calculatedColumnFormula>IFERROR(_xlfn.XLOOKUP(SalesTbl[[#This Row],[Customer ID]], CustomerTbl[Customer ID], CustomerTbl[Customer Name]), "Not Found")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E2D122-879A-4AA9-9BEA-119B4B4B1C7C}" name="ProductTbl" displayName="ProductTbl" ref="A1:E23" totalsRowShown="0" headerRowDxfId="37" dataDxfId="35" headerRowBorderDxfId="36" tableBorderDxfId="34">
  <autoFilter ref="A1:E23" xr:uid="{8CE2D122-879A-4AA9-9BEA-119B4B4B1C7C}"/>
  <tableColumns count="5">
    <tableColumn id="1" xr3:uid="{017186FF-B2FB-4E1E-98B2-1B4F9FB3342A}" name="Product ID" dataDxfId="33"/>
    <tableColumn id="2" xr3:uid="{DEA43770-7A4F-4340-BE1C-6005E74842D7}" name="Product Name" dataDxfId="32"/>
    <tableColumn id="3" xr3:uid="{429012BF-D5F0-4881-B132-B199756D6E9B}" name="Category" dataDxfId="31"/>
    <tableColumn id="4" xr3:uid="{9122831A-1858-4797-9515-5D1D8A33CFAF}" name="Cost Price" dataDxfId="30"/>
    <tableColumn id="5" xr3:uid="{5E9B183B-26AD-4C5D-9AFE-23F97AE58CCE}" name="Description" dataDxfId="2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256B60-C7FD-45B2-8BB1-84A7E94CC431}" name="RegionTbl" displayName="RegionTbl" ref="A1:B6" totalsRowShown="0" headerRowDxfId="28" headerRowBorderDxfId="27" tableBorderDxfId="26">
  <autoFilter ref="A1:B6" xr:uid="{94256B60-C7FD-45B2-8BB1-84A7E94CC431}"/>
  <tableColumns count="2">
    <tableColumn id="1" xr3:uid="{575BCB60-DD1B-46B7-9547-645B8DBB2148}" name="Region"/>
    <tableColumn id="2" xr3:uid="{08613006-C05A-4224-87A6-D824246A235E}" name="Sales Targe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8E9289-EB39-43A0-ABB1-C0578C644761}" name="CustomerTbl" displayName="CustomerTbl" ref="A1:E50" totalsRowShown="0" headerRowDxfId="25" dataDxfId="23" headerRowBorderDxfId="24" tableBorderDxfId="22">
  <autoFilter ref="A1:E50" xr:uid="{9C8E9289-EB39-43A0-ABB1-C0578C644761}"/>
  <tableColumns count="5">
    <tableColumn id="1" xr3:uid="{38188C40-A7DE-4312-B9E3-140E0CBFB92C}" name="Customer ID" dataDxfId="21"/>
    <tableColumn id="2" xr3:uid="{6B6A29B7-5699-43C1-AEAA-D1EB57B5A3CD}" name="Customer Name" dataDxfId="20"/>
    <tableColumn id="3" xr3:uid="{C5C0CD43-034D-4C92-8534-112B8CEE80BF}" name="Customer Type" dataDxfId="19"/>
    <tableColumn id="4" xr3:uid="{AFFE1B43-36E4-4AF6-BBA1-4807764A89A7}" name="City" dataDxfId="18"/>
    <tableColumn id="5" xr3:uid="{30A4242E-614D-4F07-9276-988C490430CD}" name="State" dataDxfId="1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C07440-522C-4F98-8910-9F515B446063}" name="Table5" displayName="Table5" ref="A1:F6" totalsRowShown="0" headerRowDxfId="16" headerRowBorderDxfId="15" tableBorderDxfId="14">
  <autoFilter ref="A1:F6" xr:uid="{04C07440-522C-4F98-8910-9F515B446063}"/>
  <tableColumns count="6">
    <tableColumn id="1" xr3:uid="{2E7E5540-1082-4083-BCBA-431F04951924}" name="Region"/>
    <tableColumn id="2" xr3:uid="{3E8D5A6E-2B8D-4DDB-8B93-24B595A40A77}" name="Books"/>
    <tableColumn id="3" xr3:uid="{E5C28BF0-E8BD-493D-8A31-490AD4BB79D0}" name="Electronics"/>
    <tableColumn id="4" xr3:uid="{29A07F79-F417-4B1A-B04D-8854A19DD205}" name="Fashion"/>
    <tableColumn id="5" xr3:uid="{B7AE2E1D-4C84-41F8-8470-44C125B0AB92}" name="Home"/>
    <tableColumn id="6" xr3:uid="{73E41403-0B12-4F91-A70A-09F43BCC97E5}" name="Toy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03F4CD-CD03-416C-8595-F7CCFD0DED1B}" name="Table6" displayName="Table6" ref="A1:B4" totalsRowShown="0" headerRowDxfId="13" headerRowBorderDxfId="12" tableBorderDxfId="11">
  <autoFilter ref="A1:B4" xr:uid="{3603F4CD-CD03-416C-8595-F7CCFD0DED1B}"/>
  <tableColumns count="2">
    <tableColumn id="1" xr3:uid="{80AF0933-D768-4206-BB37-5662F5B884C0}" name="Delivery Status"/>
    <tableColumn id="2" xr3:uid="{43CB8858-DAC9-420A-B690-7A2248610932}" name="Order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5082E1-C50E-4D36-835D-E201B8F3F46A}" name="Table7" displayName="Table7" ref="A1:A2" totalsRowShown="0" headerRowDxfId="10" headerRowBorderDxfId="9" tableBorderDxfId="8">
  <autoFilter ref="A1:A2" xr:uid="{4C5082E1-C50E-4D36-835D-E201B8F3F46A}"/>
  <tableColumns count="1">
    <tableColumn id="1" xr3:uid="{638DDE0C-1BA1-47EB-9A86-848CD20EA200}" name="Average_Delivery_Time_Day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6B23586-D08A-4C99-9EBA-5C6CB305F8D8}" name="Table8" displayName="Table8" ref="A1:E6" totalsRowShown="0" headerRowDxfId="7" headerRowBorderDxfId="6" tableBorderDxfId="5">
  <autoFilter ref="A1:E6" xr:uid="{F6B23586-D08A-4C99-9EBA-5C6CB305F8D8}"/>
  <tableColumns count="5">
    <tableColumn id="1" xr3:uid="{79E74E5D-4E46-4C60-BFC4-47BE5B6C19F9}" name="Region"/>
    <tableColumn id="2" xr3:uid="{6331C337-AF68-4346-AFA0-5ABDFBD3A456}" name="Total_Orders"/>
    <tableColumn id="3" xr3:uid="{99786F1C-063B-4032-A841-0FADE896E59B}" name="Cancelled_Orders"/>
    <tableColumn id="4" xr3:uid="{93A2802B-F1B3-4915-85F9-76B18958C6D8}" name="Effective_Sales"/>
    <tableColumn id="5" xr3:uid="{0F3C10AA-6C52-43EA-8638-12C719AA44DB}" name="Cancellation_Rate_%"/>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0D5D5A4-AF23-4B7D-85E5-666E663DE38A}" name="Table9" displayName="Table9" ref="A1:C23" totalsRowShown="0" headerRowDxfId="4" headerRowBorderDxfId="3" tableBorderDxfId="2">
  <autoFilter ref="A1:C23" xr:uid="{B0D5D5A4-AF23-4B7D-85E5-666E663DE38A}"/>
  <tableColumns count="3">
    <tableColumn id="1" xr3:uid="{4D9D7842-76F1-4076-BD40-5ABFB1B698FF}" name="Product ID" dataDxfId="1"/>
    <tableColumn id="2" xr3:uid="{CCA26617-66F0-4F82-A828-31BE8694F246}" name="Product Name" dataDxfId="0"/>
    <tableColumn id="3" xr3:uid="{63FF7BB5-C122-464F-820E-302DAD3D6162}" name="Effective_S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04C9DD-A46A-4539-BA85-DED22627A947}" sourceName="Order Date">
  <pivotTables>
    <pivotTable tabId="12" name="PivotTable1"/>
    <pivotTable tabId="13" name="PivotTable1"/>
    <pivotTable tabId="14" name="PivotTable2"/>
  </pivotTables>
  <state minimalRefreshVersion="6" lastRefreshVersion="6" pivotCacheId="144253942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F00B0DC-8265-47F7-AFA1-5EF64E47CA72}" cache="NativeTimeline_Order_Date" caption="Order Date" level="2" selectionLevel="2" scrollPosition="2023-03-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4.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10449-51F4-425F-88D7-38C4AF7CE250}">
  <dimension ref="A1:G10"/>
  <sheetViews>
    <sheetView tabSelected="1" zoomScale="70" zoomScaleNormal="70" workbookViewId="0">
      <selection activeCell="H8" sqref="H8"/>
    </sheetView>
  </sheetViews>
  <sheetFormatPr defaultRowHeight="14.4"/>
  <cols>
    <col min="1" max="1" width="19.6640625" bestFit="1" customWidth="1"/>
    <col min="2" max="2" width="17.33203125" customWidth="1"/>
    <col min="3" max="3" width="7.88671875" customWidth="1"/>
    <col min="4" max="4" width="8.109375" customWidth="1"/>
    <col min="5" max="5" width="9.109375" customWidth="1"/>
    <col min="6" max="6" width="8.44140625" customWidth="1"/>
    <col min="7" max="7" width="14.77734375" customWidth="1"/>
    <col min="8" max="8" width="8" bestFit="1" customWidth="1"/>
    <col min="9" max="9" width="10.6640625" bestFit="1" customWidth="1"/>
    <col min="10" max="10" width="7.21875" bestFit="1" customWidth="1"/>
    <col min="11" max="11" width="9.88671875" bestFit="1" customWidth="1"/>
    <col min="12" max="12" width="10.77734375" bestFit="1" customWidth="1"/>
    <col min="13" max="13" width="4.77734375" bestFit="1" customWidth="1"/>
    <col min="14" max="14" width="3.88671875" bestFit="1" customWidth="1"/>
    <col min="15" max="15" width="3.21875" bestFit="1" customWidth="1"/>
    <col min="16" max="16" width="4.109375" bestFit="1" customWidth="1"/>
    <col min="17" max="17" width="4" bestFit="1" customWidth="1"/>
    <col min="18" max="18" width="4.109375" bestFit="1" customWidth="1"/>
    <col min="19" max="19" width="9.6640625" bestFit="1" customWidth="1"/>
    <col min="20" max="20" width="9.109375" bestFit="1" customWidth="1"/>
    <col min="21" max="21" width="7.88671875" bestFit="1" customWidth="1"/>
    <col min="22" max="22" width="4" bestFit="1" customWidth="1"/>
    <col min="23" max="23" width="4.44140625" bestFit="1" customWidth="1"/>
    <col min="24" max="24" width="4" bestFit="1" customWidth="1"/>
    <col min="25" max="25" width="4.77734375" bestFit="1" customWidth="1"/>
    <col min="26" max="26" width="3.88671875" bestFit="1" customWidth="1"/>
    <col min="27" max="27" width="4" bestFit="1" customWidth="1"/>
    <col min="28" max="28" width="4.33203125" bestFit="1" customWidth="1"/>
    <col min="29" max="29" width="4.109375" bestFit="1" customWidth="1"/>
    <col min="30" max="30" width="3.88671875" bestFit="1" customWidth="1"/>
    <col min="31" max="31" width="5" bestFit="1" customWidth="1"/>
    <col min="32" max="32" width="4.109375" bestFit="1" customWidth="1"/>
    <col min="33" max="33" width="9.6640625" bestFit="1" customWidth="1"/>
    <col min="34" max="34" width="10.5546875" bestFit="1" customWidth="1"/>
    <col min="35" max="35" width="8" bestFit="1" customWidth="1"/>
    <col min="36" max="36" width="4" bestFit="1" customWidth="1"/>
    <col min="37" max="37" width="4.77734375" bestFit="1" customWidth="1"/>
    <col min="38" max="38" width="3.88671875" bestFit="1" customWidth="1"/>
    <col min="39" max="39" width="4.33203125" bestFit="1" customWidth="1"/>
    <col min="40" max="40" width="4.109375" bestFit="1" customWidth="1"/>
    <col min="41" max="41" width="4" bestFit="1" customWidth="1"/>
    <col min="42" max="42" width="4.44140625" bestFit="1" customWidth="1"/>
    <col min="43" max="43" width="4.109375" bestFit="1" customWidth="1"/>
    <col min="44" max="44" width="9.6640625" bestFit="1" customWidth="1"/>
    <col min="45" max="45" width="10.6640625" bestFit="1" customWidth="1"/>
    <col min="46" max="46" width="7.21875" bestFit="1" customWidth="1"/>
    <col min="47" max="47" width="4" bestFit="1" customWidth="1"/>
    <col min="48" max="48" width="4.44140625" bestFit="1" customWidth="1"/>
    <col min="49" max="49" width="4" bestFit="1" customWidth="1"/>
    <col min="50" max="50" width="4.77734375" bestFit="1" customWidth="1"/>
    <col min="51" max="51" width="4" bestFit="1" customWidth="1"/>
    <col min="52" max="52" width="4.109375" bestFit="1" customWidth="1"/>
    <col min="53" max="53" width="3.88671875" bestFit="1" customWidth="1"/>
    <col min="54" max="55" width="5" bestFit="1" customWidth="1"/>
    <col min="56" max="56" width="9.6640625" bestFit="1" customWidth="1"/>
    <col min="57" max="57" width="9.88671875" bestFit="1" customWidth="1"/>
    <col min="58" max="58" width="10.77734375" bestFit="1" customWidth="1"/>
    <col min="59" max="59" width="10.33203125" bestFit="1" customWidth="1"/>
    <col min="60" max="60" width="10.5546875" bestFit="1" customWidth="1"/>
    <col min="61" max="79" width="10.33203125" bestFit="1" customWidth="1"/>
    <col min="80" max="80" width="10.6640625" bestFit="1" customWidth="1"/>
    <col min="81" max="101" width="10.33203125" bestFit="1" customWidth="1"/>
    <col min="102" max="102" width="9.88671875" bestFit="1" customWidth="1"/>
    <col min="103" max="103" width="10.77734375" bestFit="1" customWidth="1"/>
  </cols>
  <sheetData>
    <row r="1" spans="1:7">
      <c r="A1" s="5" t="s">
        <v>10</v>
      </c>
      <c r="B1" t="s">
        <v>343</v>
      </c>
    </row>
    <row r="3" spans="1:7">
      <c r="A3" s="5" t="s">
        <v>342</v>
      </c>
      <c r="B3" s="5" t="s">
        <v>346</v>
      </c>
    </row>
    <row r="4" spans="1:7">
      <c r="A4" s="5" t="s">
        <v>340</v>
      </c>
      <c r="B4" s="3" t="s">
        <v>188</v>
      </c>
      <c r="C4" s="3" t="s">
        <v>186</v>
      </c>
      <c r="D4" s="3" t="s">
        <v>185</v>
      </c>
      <c r="E4" s="3" t="s">
        <v>187</v>
      </c>
      <c r="F4" s="3" t="s">
        <v>189</v>
      </c>
      <c r="G4" s="3" t="s">
        <v>341</v>
      </c>
    </row>
    <row r="5" spans="1:7">
      <c r="A5" s="6" t="s">
        <v>233</v>
      </c>
      <c r="B5" s="3">
        <v>0</v>
      </c>
      <c r="C5" s="3">
        <v>63</v>
      </c>
      <c r="D5" s="3">
        <v>64</v>
      </c>
      <c r="E5" s="3">
        <v>0</v>
      </c>
      <c r="F5" s="3">
        <v>0</v>
      </c>
      <c r="G5" s="3">
        <v>127</v>
      </c>
    </row>
    <row r="6" spans="1:7">
      <c r="A6" s="6" t="s">
        <v>232</v>
      </c>
      <c r="B6" s="3">
        <v>1606</v>
      </c>
      <c r="C6" s="3">
        <v>0</v>
      </c>
      <c r="D6" s="3">
        <v>3656</v>
      </c>
      <c r="E6" s="3">
        <v>172</v>
      </c>
      <c r="F6" s="3">
        <v>692</v>
      </c>
      <c r="G6" s="3">
        <v>6126</v>
      </c>
    </row>
    <row r="7" spans="1:7">
      <c r="A7" s="6" t="s">
        <v>231</v>
      </c>
      <c r="B7" s="3">
        <v>26</v>
      </c>
      <c r="C7" s="3">
        <v>221</v>
      </c>
      <c r="D7" s="3">
        <v>231</v>
      </c>
      <c r="E7" s="3">
        <v>418</v>
      </c>
      <c r="F7" s="3">
        <v>480</v>
      </c>
      <c r="G7" s="3">
        <v>1376</v>
      </c>
    </row>
    <row r="8" spans="1:7">
      <c r="A8" s="6" t="s">
        <v>229</v>
      </c>
      <c r="B8" s="3">
        <v>1378</v>
      </c>
      <c r="C8" s="3">
        <v>630</v>
      </c>
      <c r="D8" s="3">
        <v>0</v>
      </c>
      <c r="E8" s="3">
        <v>430</v>
      </c>
      <c r="F8" s="3">
        <v>1765</v>
      </c>
      <c r="G8" s="3">
        <v>4203</v>
      </c>
    </row>
    <row r="9" spans="1:7">
      <c r="A9" s="6" t="s">
        <v>230</v>
      </c>
      <c r="B9" s="3">
        <v>0</v>
      </c>
      <c r="C9" s="3">
        <v>928</v>
      </c>
      <c r="D9" s="3">
        <v>124</v>
      </c>
      <c r="E9" s="3">
        <v>43</v>
      </c>
      <c r="F9" s="3">
        <v>729</v>
      </c>
      <c r="G9" s="3">
        <v>1824</v>
      </c>
    </row>
    <row r="10" spans="1:7">
      <c r="A10" s="6" t="s">
        <v>341</v>
      </c>
      <c r="B10" s="3">
        <v>3010</v>
      </c>
      <c r="C10" s="3">
        <v>1842</v>
      </c>
      <c r="D10" s="3">
        <v>4075</v>
      </c>
      <c r="E10" s="3">
        <v>1063</v>
      </c>
      <c r="F10" s="3">
        <v>3666</v>
      </c>
      <c r="G10" s="3">
        <v>13656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6557-80D3-40C8-8DAD-18FDC7485E50}">
  <dimension ref="A1:E3"/>
  <sheetViews>
    <sheetView workbookViewId="0">
      <selection activeCell="B2" sqref="B2:E3"/>
    </sheetView>
  </sheetViews>
  <sheetFormatPr defaultRowHeight="14.4"/>
  <cols>
    <col min="1" max="1" width="15.88671875" bestFit="1" customWidth="1"/>
    <col min="2" max="2" width="15.5546875" bestFit="1" customWidth="1"/>
    <col min="3" max="3" width="4.21875" bestFit="1" customWidth="1"/>
    <col min="4" max="4" width="5" bestFit="1" customWidth="1"/>
    <col min="5" max="5" width="10.77734375" bestFit="1" customWidth="1"/>
  </cols>
  <sheetData>
    <row r="1" spans="1:5">
      <c r="B1" s="5" t="s">
        <v>346</v>
      </c>
    </row>
    <row r="2" spans="1:5">
      <c r="B2" s="3" t="s">
        <v>205</v>
      </c>
      <c r="C2" s="3" t="s">
        <v>204</v>
      </c>
      <c r="D2" s="3" t="s">
        <v>206</v>
      </c>
      <c r="E2" s="3" t="s">
        <v>341</v>
      </c>
    </row>
    <row r="3" spans="1:5">
      <c r="A3" t="s">
        <v>344</v>
      </c>
      <c r="B3" s="3">
        <v>11</v>
      </c>
      <c r="C3" s="3">
        <v>66</v>
      </c>
      <c r="D3" s="3">
        <v>23</v>
      </c>
      <c r="E3" s="3">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D2B97-40CC-4F5F-A6B3-AF66172D19E0}">
  <dimension ref="A1:G6"/>
  <sheetViews>
    <sheetView workbookViewId="0">
      <selection activeCell="B5" sqref="B5:G6"/>
    </sheetView>
  </sheetViews>
  <sheetFormatPr defaultRowHeight="14.4"/>
  <cols>
    <col min="1" max="1" width="28.109375" bestFit="1" customWidth="1"/>
    <col min="2" max="2" width="15.5546875" bestFit="1" customWidth="1"/>
    <col min="3" max="3" width="5" bestFit="1" customWidth="1"/>
    <col min="4" max="4" width="6" bestFit="1" customWidth="1"/>
    <col min="5" max="7" width="12" bestFit="1" customWidth="1"/>
  </cols>
  <sheetData>
    <row r="1" spans="1:7">
      <c r="A1" s="5" t="s">
        <v>20</v>
      </c>
      <c r="B1" t="s">
        <v>343</v>
      </c>
    </row>
    <row r="2" spans="1:7">
      <c r="A2" s="5" t="s">
        <v>10</v>
      </c>
      <c r="B2" t="s">
        <v>343</v>
      </c>
    </row>
    <row r="4" spans="1:7">
      <c r="B4" s="5" t="s">
        <v>346</v>
      </c>
    </row>
    <row r="5" spans="1:7">
      <c r="B5" s="3" t="s">
        <v>188</v>
      </c>
      <c r="C5" s="3" t="s">
        <v>186</v>
      </c>
      <c r="D5" s="3" t="s">
        <v>185</v>
      </c>
      <c r="E5" s="3" t="s">
        <v>187</v>
      </c>
      <c r="F5" s="3" t="s">
        <v>189</v>
      </c>
      <c r="G5" s="3" t="s">
        <v>341</v>
      </c>
    </row>
    <row r="6" spans="1:7">
      <c r="A6" t="s">
        <v>345</v>
      </c>
      <c r="B6" s="3">
        <v>4.2</v>
      </c>
      <c r="C6" s="3">
        <v>4.25</v>
      </c>
      <c r="D6" s="3">
        <v>3.625</v>
      </c>
      <c r="E6" s="3">
        <v>3.3333333333333335</v>
      </c>
      <c r="F6" s="3">
        <v>3.4285714285714284</v>
      </c>
      <c r="G6" s="3">
        <v>3.7647058823529411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6889-2E31-40D0-95B6-0C965892BE7F}">
  <dimension ref="A1:X73"/>
  <sheetViews>
    <sheetView topLeftCell="A12" zoomScale="70" zoomScaleNormal="70" workbookViewId="0">
      <selection activeCell="K27" sqref="K27"/>
    </sheetView>
  </sheetViews>
  <sheetFormatPr defaultRowHeight="14.4"/>
  <cols>
    <col min="1" max="1" width="19.6640625" bestFit="1" customWidth="1"/>
    <col min="2" max="2" width="15.5546875" bestFit="1" customWidth="1"/>
    <col min="3" max="3" width="16" bestFit="1" customWidth="1"/>
    <col min="4" max="4" width="9.88671875" bestFit="1" customWidth="1"/>
    <col min="5" max="5" width="11.5546875" bestFit="1" customWidth="1"/>
    <col min="6" max="6" width="12.5546875" bestFit="1" customWidth="1"/>
    <col min="7" max="7" width="12.88671875" customWidth="1"/>
    <col min="8" max="8" width="13.77734375" bestFit="1" customWidth="1"/>
    <col min="9" max="9" width="9.6640625" bestFit="1" customWidth="1"/>
    <col min="10" max="10" width="6.5546875" bestFit="1" customWidth="1"/>
    <col min="11" max="11" width="9" bestFit="1" customWidth="1"/>
    <col min="12" max="12" width="7" bestFit="1" customWidth="1"/>
    <col min="13" max="13" width="11.109375" bestFit="1" customWidth="1"/>
    <col min="14" max="14" width="12" bestFit="1" customWidth="1"/>
    <col min="15" max="15" width="5.88671875" bestFit="1" customWidth="1"/>
    <col min="16" max="16" width="6.21875" bestFit="1" customWidth="1"/>
    <col min="17" max="17" width="16.6640625" bestFit="1" customWidth="1"/>
    <col min="18" max="18" width="5.5546875" bestFit="1" customWidth="1"/>
    <col min="19" max="19" width="14.88671875" bestFit="1" customWidth="1"/>
    <col min="20" max="20" width="9.109375" bestFit="1" customWidth="1"/>
    <col min="21" max="21" width="11.109375" bestFit="1" customWidth="1"/>
    <col min="22" max="22" width="8.88671875" bestFit="1" customWidth="1"/>
    <col min="23" max="23" width="5.6640625" bestFit="1" customWidth="1"/>
    <col min="24" max="24" width="10.77734375" bestFit="1" customWidth="1"/>
  </cols>
  <sheetData>
    <row r="1" spans="1:7">
      <c r="A1" t="s">
        <v>342</v>
      </c>
    </row>
    <row r="2" spans="1:7" ht="15.6">
      <c r="A2">
        <v>13656</v>
      </c>
      <c r="F2" s="7" t="s">
        <v>352</v>
      </c>
      <c r="G2" s="8" t="s">
        <v>347</v>
      </c>
    </row>
    <row r="23" spans="1:7" ht="15.6">
      <c r="A23" s="5" t="s">
        <v>11</v>
      </c>
      <c r="B23" t="s">
        <v>343</v>
      </c>
      <c r="F23" s="7" t="s">
        <v>351</v>
      </c>
      <c r="G23" t="s">
        <v>348</v>
      </c>
    </row>
    <row r="25" spans="1:7">
      <c r="B25" s="5" t="s">
        <v>346</v>
      </c>
    </row>
    <row r="26" spans="1:7">
      <c r="B26" s="3" t="s">
        <v>205</v>
      </c>
      <c r="C26" s="3" t="s">
        <v>204</v>
      </c>
      <c r="D26" s="3" t="s">
        <v>206</v>
      </c>
      <c r="E26" s="3" t="s">
        <v>341</v>
      </c>
      <c r="F26" s="3"/>
    </row>
    <row r="27" spans="1:7">
      <c r="A27" t="s">
        <v>344</v>
      </c>
      <c r="B27" s="3">
        <v>11</v>
      </c>
      <c r="C27" s="3">
        <v>66</v>
      </c>
      <c r="D27" s="3">
        <v>23</v>
      </c>
      <c r="E27" s="3">
        <v>100</v>
      </c>
      <c r="F27" s="3"/>
    </row>
    <row r="49" spans="1:7">
      <c r="F49" s="7" t="s">
        <v>350</v>
      </c>
      <c r="G49" t="s">
        <v>349</v>
      </c>
    </row>
    <row r="50" spans="1:7">
      <c r="B50" s="5" t="s">
        <v>346</v>
      </c>
    </row>
    <row r="51" spans="1:7">
      <c r="B51" s="3" t="s">
        <v>185</v>
      </c>
      <c r="C51" s="3" t="s">
        <v>189</v>
      </c>
      <c r="D51" s="3" t="s">
        <v>188</v>
      </c>
      <c r="E51" s="3" t="s">
        <v>186</v>
      </c>
      <c r="F51" s="3" t="s">
        <v>187</v>
      </c>
      <c r="G51" s="3" t="s">
        <v>341</v>
      </c>
    </row>
    <row r="52" spans="1:7">
      <c r="A52" t="s">
        <v>342</v>
      </c>
      <c r="B52" s="3">
        <v>4075</v>
      </c>
      <c r="C52" s="3">
        <v>3666</v>
      </c>
      <c r="D52" s="3">
        <v>3010</v>
      </c>
      <c r="E52" s="3">
        <v>1842</v>
      </c>
      <c r="F52" s="3">
        <v>1063</v>
      </c>
      <c r="G52" s="3">
        <v>13656</v>
      </c>
    </row>
    <row r="70" spans="1:24">
      <c r="F70" s="7" t="s">
        <v>353</v>
      </c>
      <c r="G70" t="s">
        <v>354</v>
      </c>
    </row>
    <row r="71" spans="1:24">
      <c r="B71" s="5" t="s">
        <v>346</v>
      </c>
    </row>
    <row r="72" spans="1:24">
      <c r="B72" s="3" t="s">
        <v>221</v>
      </c>
      <c r="C72" s="3" t="s">
        <v>226</v>
      </c>
      <c r="D72" s="3" t="s">
        <v>208</v>
      </c>
      <c r="E72" s="3" t="s">
        <v>225</v>
      </c>
      <c r="F72" s="3" t="s">
        <v>214</v>
      </c>
      <c r="G72" s="3" t="s">
        <v>216</v>
      </c>
      <c r="H72" s="3" t="s">
        <v>217</v>
      </c>
      <c r="I72" s="3" t="s">
        <v>212</v>
      </c>
      <c r="J72" s="3" t="s">
        <v>218</v>
      </c>
      <c r="K72" s="3" t="s">
        <v>223</v>
      </c>
      <c r="L72" s="3" t="s">
        <v>228</v>
      </c>
      <c r="M72" s="3" t="s">
        <v>213</v>
      </c>
      <c r="N72" s="3" t="s">
        <v>222</v>
      </c>
      <c r="O72" s="3" t="s">
        <v>219</v>
      </c>
      <c r="P72" s="3" t="s">
        <v>227</v>
      </c>
      <c r="Q72" s="3" t="s">
        <v>211</v>
      </c>
      <c r="R72" s="3" t="s">
        <v>210</v>
      </c>
      <c r="S72" s="3" t="s">
        <v>209</v>
      </c>
      <c r="T72" s="3" t="s">
        <v>224</v>
      </c>
      <c r="U72" s="3" t="s">
        <v>215</v>
      </c>
      <c r="V72" s="3" t="s">
        <v>220</v>
      </c>
      <c r="W72" s="3" t="s">
        <v>207</v>
      </c>
      <c r="X72" s="3" t="s">
        <v>341</v>
      </c>
    </row>
    <row r="73" spans="1:24">
      <c r="A73" t="s">
        <v>342</v>
      </c>
      <c r="B73" s="3">
        <v>4866</v>
      </c>
      <c r="C73" s="3">
        <v>3220</v>
      </c>
      <c r="D73" s="3">
        <v>1239</v>
      </c>
      <c r="E73" s="3">
        <v>864</v>
      </c>
      <c r="F73" s="3">
        <v>695</v>
      </c>
      <c r="G73" s="3">
        <v>577</v>
      </c>
      <c r="H73" s="3">
        <v>292</v>
      </c>
      <c r="I73" s="3">
        <v>288</v>
      </c>
      <c r="J73" s="3">
        <v>269</v>
      </c>
      <c r="K73" s="3">
        <v>256</v>
      </c>
      <c r="L73" s="3">
        <v>254</v>
      </c>
      <c r="M73" s="3">
        <v>215</v>
      </c>
      <c r="N73" s="3">
        <v>207</v>
      </c>
      <c r="O73" s="3">
        <v>127</v>
      </c>
      <c r="P73" s="3">
        <v>124</v>
      </c>
      <c r="Q73" s="3">
        <v>104</v>
      </c>
      <c r="R73" s="3">
        <v>59</v>
      </c>
      <c r="S73" s="3">
        <v>0</v>
      </c>
      <c r="T73" s="3">
        <v>0</v>
      </c>
      <c r="U73" s="3">
        <v>0</v>
      </c>
      <c r="V73" s="3">
        <v>0</v>
      </c>
      <c r="W73" s="3">
        <v>0</v>
      </c>
      <c r="X73" s="3">
        <v>13656</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2B49-7A55-4B8A-8477-895D66EB4A66}">
  <dimension ref="B2:K41"/>
  <sheetViews>
    <sheetView topLeftCell="B8" workbookViewId="0">
      <selection activeCell="D4" sqref="D4"/>
    </sheetView>
  </sheetViews>
  <sheetFormatPr defaultRowHeight="14.4"/>
  <cols>
    <col min="2" max="2" width="11.77734375" customWidth="1"/>
    <col min="3" max="3" width="25.44140625" customWidth="1"/>
    <col min="4" max="4" width="17.33203125" customWidth="1"/>
    <col min="5" max="5" width="14.21875" customWidth="1"/>
  </cols>
  <sheetData>
    <row r="2" spans="2:5" ht="18">
      <c r="B2" s="9" t="s">
        <v>364</v>
      </c>
      <c r="C2" s="9" t="s">
        <v>355</v>
      </c>
      <c r="D2" s="10">
        <f>GETPIVOTDATA("Effective Sales",KPI_Pivots!$A$1)</f>
        <v>13656</v>
      </c>
      <c r="E2" s="11"/>
    </row>
    <row r="3" spans="2:5" ht="18">
      <c r="B3" s="9"/>
      <c r="C3" s="9"/>
      <c r="D3" s="11"/>
      <c r="E3" s="11"/>
    </row>
    <row r="4" spans="2:5" ht="18">
      <c r="B4" s="9" t="s">
        <v>365</v>
      </c>
      <c r="C4" s="9" t="s">
        <v>356</v>
      </c>
      <c r="D4" s="12">
        <f>GETPIVOTDATA("Order ID",KPI_Pivots!$A$25,"Delivery Performance","Fast")/GETPIVOTDATA("Order ID",KPI_Pivots!$A$25)</f>
        <v>0.11</v>
      </c>
      <c r="E4" s="11"/>
    </row>
    <row r="5" spans="2:5" ht="18">
      <c r="B5" s="9"/>
      <c r="C5" s="9"/>
      <c r="D5" s="12"/>
      <c r="E5" s="11"/>
    </row>
    <row r="6" spans="2:5" ht="18">
      <c r="B6" s="9"/>
      <c r="C6" s="9"/>
      <c r="D6" s="12"/>
      <c r="E6" s="11"/>
    </row>
    <row r="7" spans="2:5" ht="18">
      <c r="B7" s="9" t="s">
        <v>366</v>
      </c>
      <c r="C7" s="9" t="s">
        <v>357</v>
      </c>
      <c r="D7" s="9" t="s">
        <v>6</v>
      </c>
      <c r="E7" s="9" t="s">
        <v>361</v>
      </c>
    </row>
    <row r="8" spans="2:5" ht="18">
      <c r="B8" s="9"/>
      <c r="C8" s="11" t="s">
        <v>358</v>
      </c>
      <c r="D8" s="11" t="str">
        <f>KPI_Pivots!B51</f>
        <v>North</v>
      </c>
      <c r="E8" s="11">
        <f>GETPIVOTDATA("Effective Sales",KPI_Pivots!$A$50,"Region","North")</f>
        <v>4075</v>
      </c>
    </row>
    <row r="9" spans="2:5" ht="18">
      <c r="B9" s="9"/>
      <c r="C9" s="11" t="s">
        <v>359</v>
      </c>
      <c r="D9" s="11" t="str">
        <f>KPI_Pivots!C51</f>
        <v>West</v>
      </c>
      <c r="E9" s="11">
        <f>GETPIVOTDATA("Effective Sales",KPI_Pivots!$A$50,"Region","West")</f>
        <v>3666</v>
      </c>
    </row>
    <row r="10" spans="2:5" ht="18">
      <c r="B10" s="9"/>
      <c r="C10" s="11" t="s">
        <v>360</v>
      </c>
      <c r="D10" s="11" t="str">
        <f>KPI_Pivots!D51</f>
        <v>Central</v>
      </c>
      <c r="E10" s="11">
        <f>GETPIVOTDATA("Effective Sales",KPI_Pivots!$A$50,"Region","Central")</f>
        <v>3010</v>
      </c>
    </row>
    <row r="11" spans="2:5" ht="18">
      <c r="B11" s="9"/>
      <c r="C11" s="11"/>
      <c r="D11" s="11"/>
      <c r="E11" s="11"/>
    </row>
    <row r="12" spans="2:5" ht="18">
      <c r="B12" s="9" t="s">
        <v>367</v>
      </c>
      <c r="C12" s="9" t="s">
        <v>362</v>
      </c>
      <c r="D12" s="11" t="str">
        <f>KPI_Pivots!B72</f>
        <v>Smartphone</v>
      </c>
      <c r="E12" s="11"/>
    </row>
    <row r="13" spans="2:5" ht="18">
      <c r="B13" s="11"/>
      <c r="C13" s="9" t="s">
        <v>363</v>
      </c>
      <c r="D13" s="11">
        <f>GETPIVOTDATA("Effective Sales",KPI_Pivots!$A$71,"Product Name","Smartphone")</f>
        <v>4866</v>
      </c>
      <c r="E13" s="11"/>
    </row>
    <row r="22" spans="3:10" ht="21">
      <c r="C22" s="16" t="s">
        <v>355</v>
      </c>
      <c r="D22" s="16"/>
      <c r="H22" s="16" t="s">
        <v>356</v>
      </c>
      <c r="I22" s="16"/>
      <c r="J22" s="16"/>
    </row>
    <row r="38" spans="3:11" ht="21">
      <c r="H38" s="16" t="s">
        <v>362</v>
      </c>
      <c r="I38" s="16"/>
      <c r="J38" s="16"/>
      <c r="K38" s="16"/>
    </row>
    <row r="41" spans="3:11" ht="21">
      <c r="C41" s="16" t="s">
        <v>357</v>
      </c>
      <c r="D41" s="16"/>
    </row>
  </sheetData>
  <mergeCells count="4">
    <mergeCell ref="C22:D22"/>
    <mergeCell ref="H22:J22"/>
    <mergeCell ref="C41:D41"/>
    <mergeCell ref="H38:K3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1"/>
  <sheetViews>
    <sheetView topLeftCell="J1" workbookViewId="0">
      <selection activeCell="A2" sqref="A2"/>
    </sheetView>
  </sheetViews>
  <sheetFormatPr defaultRowHeight="14.4"/>
  <cols>
    <col min="1" max="1" width="12" customWidth="1"/>
    <col min="2" max="2" width="15.109375" customWidth="1"/>
    <col min="3" max="3" width="16.33203125" customWidth="1"/>
    <col min="4" max="4" width="14.77734375" customWidth="1"/>
    <col min="5" max="5" width="15" customWidth="1"/>
    <col min="6" max="6" width="14" customWidth="1"/>
    <col min="7" max="7" width="13.33203125" customWidth="1"/>
    <col min="8" max="8" width="15.33203125" customWidth="1"/>
    <col min="9" max="9" width="11.44140625" customWidth="1"/>
    <col min="10" max="10" width="14.44140625" customWidth="1"/>
    <col min="11" max="11" width="18.44140625" customWidth="1"/>
    <col min="12" max="12" width="16.88671875" customWidth="1"/>
    <col min="13" max="13" width="19.88671875" customWidth="1"/>
    <col min="14" max="14" width="16.5546875" customWidth="1"/>
    <col min="15" max="15" width="20.109375" customWidth="1"/>
    <col min="16" max="16" width="16.44140625" customWidth="1"/>
    <col min="17" max="17" width="20" customWidth="1"/>
    <col min="18" max="18" width="21" customWidth="1"/>
    <col min="19" max="19" width="19.44140625" customWidth="1"/>
    <col min="20" max="20" width="18.77734375" customWidth="1"/>
    <col min="21" max="21" width="20" customWidth="1"/>
    <col min="22" max="22" width="19" customWidth="1"/>
  </cols>
  <sheetData>
    <row r="1" spans="1:22">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259</v>
      </c>
    </row>
    <row r="2" spans="1:22">
      <c r="A2" s="3" t="s">
        <v>21</v>
      </c>
      <c r="B2" s="4">
        <v>45291</v>
      </c>
      <c r="C2" s="3"/>
      <c r="D2" s="4">
        <v>45293</v>
      </c>
      <c r="E2" s="3" t="s">
        <v>121</v>
      </c>
      <c r="F2" s="3" t="s">
        <v>163</v>
      </c>
      <c r="G2" s="3" t="s">
        <v>185</v>
      </c>
      <c r="H2" s="3">
        <v>44</v>
      </c>
      <c r="I2" s="3">
        <v>1</v>
      </c>
      <c r="J2" s="3">
        <v>44</v>
      </c>
      <c r="K2" s="3" t="s">
        <v>190</v>
      </c>
      <c r="L2" s="3" t="s">
        <v>195</v>
      </c>
      <c r="M2" s="3" t="s">
        <v>198</v>
      </c>
      <c r="N2" s="3">
        <v>44</v>
      </c>
      <c r="O2" s="3" t="s">
        <v>203</v>
      </c>
      <c r="P2" s="3">
        <v>1</v>
      </c>
      <c r="Q2" s="3"/>
      <c r="R2" s="3" t="s">
        <v>204</v>
      </c>
      <c r="S2" s="3">
        <v>0</v>
      </c>
      <c r="T2" s="3" t="s">
        <v>207</v>
      </c>
      <c r="U2" s="3" t="s">
        <v>229</v>
      </c>
      <c r="V2" s="3" t="str">
        <f>IFERROR(_xlfn.XLOOKUP(SalesTbl[[#This Row],[Customer ID]], CustomerTbl[Customer ID], CustomerTbl[Customer Name]), "Not Found")</f>
        <v>Zoe Mitchell</v>
      </c>
    </row>
    <row r="3" spans="1:22">
      <c r="A3" s="3" t="s">
        <v>22</v>
      </c>
      <c r="B3" s="4">
        <v>44979</v>
      </c>
      <c r="C3" s="4">
        <v>44981</v>
      </c>
      <c r="D3" s="3"/>
      <c r="E3" s="3" t="s">
        <v>122</v>
      </c>
      <c r="F3" s="3" t="s">
        <v>164</v>
      </c>
      <c r="G3" s="3" t="s">
        <v>186</v>
      </c>
      <c r="H3" s="3">
        <v>96</v>
      </c>
      <c r="I3" s="3">
        <v>4</v>
      </c>
      <c r="J3" s="3">
        <v>384</v>
      </c>
      <c r="K3" s="3" t="s">
        <v>191</v>
      </c>
      <c r="L3" s="3" t="s">
        <v>196</v>
      </c>
      <c r="M3" s="3" t="s">
        <v>198</v>
      </c>
      <c r="N3" s="3">
        <v>384</v>
      </c>
      <c r="O3" s="3" t="s">
        <v>203</v>
      </c>
      <c r="P3" s="3">
        <v>0</v>
      </c>
      <c r="Q3" s="3">
        <v>2</v>
      </c>
      <c r="R3" s="3" t="s">
        <v>205</v>
      </c>
      <c r="S3" s="3">
        <v>384</v>
      </c>
      <c r="T3" s="3" t="s">
        <v>208</v>
      </c>
      <c r="U3" s="3" t="s">
        <v>230</v>
      </c>
      <c r="V3" s="3" t="str">
        <f>IFERROR(_xlfn.XLOOKUP(SalesTbl[[#This Row],[Customer ID]], CustomerTbl[Customer ID], CustomerTbl[Customer Name]), "Not Found")</f>
        <v>Ava White</v>
      </c>
    </row>
    <row r="4" spans="1:22">
      <c r="A4" s="3" t="s">
        <v>23</v>
      </c>
      <c r="B4" s="4">
        <v>45210</v>
      </c>
      <c r="C4" s="3"/>
      <c r="D4" s="3"/>
      <c r="E4" s="3" t="s">
        <v>121</v>
      </c>
      <c r="F4" s="3" t="s">
        <v>165</v>
      </c>
      <c r="G4" s="3" t="s">
        <v>187</v>
      </c>
      <c r="H4" s="3">
        <v>194</v>
      </c>
      <c r="I4" s="3">
        <v>4</v>
      </c>
      <c r="J4" s="3">
        <v>776</v>
      </c>
      <c r="K4" s="3" t="s">
        <v>191</v>
      </c>
      <c r="L4" s="3" t="s">
        <v>197</v>
      </c>
      <c r="M4" s="3" t="s">
        <v>199</v>
      </c>
      <c r="N4" s="3">
        <v>776</v>
      </c>
      <c r="O4" s="3" t="s">
        <v>203</v>
      </c>
      <c r="P4" s="3">
        <v>0</v>
      </c>
      <c r="Q4" s="3"/>
      <c r="R4" s="3" t="s">
        <v>204</v>
      </c>
      <c r="S4" s="3">
        <v>0</v>
      </c>
      <c r="T4" s="3" t="s">
        <v>209</v>
      </c>
      <c r="U4" s="3" t="s">
        <v>229</v>
      </c>
      <c r="V4" s="3" t="str">
        <f>IFERROR(_xlfn.XLOOKUP(SalesTbl[[#This Row],[Customer ID]], CustomerTbl[Customer ID], CustomerTbl[Customer Name]), "Not Found")</f>
        <v>Zoe Mitchell</v>
      </c>
    </row>
    <row r="5" spans="1:22">
      <c r="A5" s="3" t="s">
        <v>24</v>
      </c>
      <c r="B5" s="4">
        <v>45051</v>
      </c>
      <c r="C5" s="3"/>
      <c r="D5" s="4">
        <v>45057</v>
      </c>
      <c r="E5" s="3" t="s">
        <v>123</v>
      </c>
      <c r="F5" s="3" t="s">
        <v>165</v>
      </c>
      <c r="G5" s="3" t="s">
        <v>185</v>
      </c>
      <c r="H5" s="3">
        <v>196</v>
      </c>
      <c r="I5" s="3">
        <v>3</v>
      </c>
      <c r="J5" s="3">
        <v>588</v>
      </c>
      <c r="K5" s="3" t="s">
        <v>192</v>
      </c>
      <c r="L5" s="3" t="s">
        <v>195</v>
      </c>
      <c r="M5" s="3" t="s">
        <v>200</v>
      </c>
      <c r="N5" s="3">
        <v>588</v>
      </c>
      <c r="O5" s="3" t="s">
        <v>203</v>
      </c>
      <c r="P5" s="3">
        <v>1</v>
      </c>
      <c r="Q5" s="3"/>
      <c r="R5" s="3" t="s">
        <v>204</v>
      </c>
      <c r="S5" s="3">
        <v>0</v>
      </c>
      <c r="T5" s="3" t="s">
        <v>209</v>
      </c>
      <c r="U5" s="3" t="s">
        <v>229</v>
      </c>
      <c r="V5" s="3" t="str">
        <f>IFERROR(_xlfn.XLOOKUP(SalesTbl[[#This Row],[Customer ID]], CustomerTbl[Customer ID], CustomerTbl[Customer Name]), "Not Found")</f>
        <v>Grace Ward</v>
      </c>
    </row>
    <row r="6" spans="1:22">
      <c r="A6" s="3" t="s">
        <v>25</v>
      </c>
      <c r="B6" s="4">
        <v>44959</v>
      </c>
      <c r="C6" s="4">
        <v>44962</v>
      </c>
      <c r="D6" s="3"/>
      <c r="E6" s="3" t="s">
        <v>124</v>
      </c>
      <c r="F6" s="3" t="s">
        <v>166</v>
      </c>
      <c r="G6" s="3" t="s">
        <v>185</v>
      </c>
      <c r="H6" s="3">
        <v>59</v>
      </c>
      <c r="I6" s="3">
        <v>1</v>
      </c>
      <c r="J6" s="3">
        <v>59</v>
      </c>
      <c r="K6" s="3" t="s">
        <v>192</v>
      </c>
      <c r="L6" s="3" t="s">
        <v>196</v>
      </c>
      <c r="M6" s="3" t="s">
        <v>201</v>
      </c>
      <c r="N6" s="3">
        <v>59</v>
      </c>
      <c r="O6" s="3" t="s">
        <v>203</v>
      </c>
      <c r="P6" s="3">
        <v>0</v>
      </c>
      <c r="Q6" s="3">
        <v>3</v>
      </c>
      <c r="R6" s="3" t="s">
        <v>206</v>
      </c>
      <c r="S6" s="3">
        <v>59</v>
      </c>
      <c r="T6" s="3" t="s">
        <v>210</v>
      </c>
      <c r="U6" s="3" t="s">
        <v>231</v>
      </c>
      <c r="V6" s="3" t="str">
        <f>IFERROR(_xlfn.XLOOKUP(SalesTbl[[#This Row],[Customer ID]], CustomerTbl[Customer ID], CustomerTbl[Customer Name]), "Not Found")</f>
        <v>Hazel Brooks</v>
      </c>
    </row>
    <row r="7" spans="1:22">
      <c r="A7" s="3" t="s">
        <v>26</v>
      </c>
      <c r="B7" s="4">
        <v>45231</v>
      </c>
      <c r="C7" s="3"/>
      <c r="D7" s="4">
        <v>45232</v>
      </c>
      <c r="E7" s="3" t="s">
        <v>125</v>
      </c>
      <c r="F7" s="3" t="s">
        <v>166</v>
      </c>
      <c r="G7" s="3" t="s">
        <v>185</v>
      </c>
      <c r="H7" s="3">
        <v>58</v>
      </c>
      <c r="I7" s="3">
        <v>4</v>
      </c>
      <c r="J7" s="3">
        <v>232</v>
      </c>
      <c r="K7" s="3" t="s">
        <v>193</v>
      </c>
      <c r="L7" s="3" t="s">
        <v>195</v>
      </c>
      <c r="M7" s="3" t="s">
        <v>198</v>
      </c>
      <c r="N7" s="3">
        <v>232</v>
      </c>
      <c r="O7" s="3" t="s">
        <v>203</v>
      </c>
      <c r="P7" s="3">
        <v>1</v>
      </c>
      <c r="Q7" s="3"/>
      <c r="R7" s="3" t="s">
        <v>204</v>
      </c>
      <c r="S7" s="3">
        <v>0</v>
      </c>
      <c r="T7" s="3" t="s">
        <v>210</v>
      </c>
      <c r="U7" s="3" t="s">
        <v>231</v>
      </c>
      <c r="V7" s="3" t="str">
        <f>IFERROR(_xlfn.XLOOKUP(SalesTbl[[#This Row],[Customer ID]], CustomerTbl[Customer ID], CustomerTbl[Customer Name]), "Not Found")</f>
        <v>Jackson Allen</v>
      </c>
    </row>
    <row r="8" spans="1:22">
      <c r="A8" s="3" t="s">
        <v>27</v>
      </c>
      <c r="B8" s="4">
        <v>45152</v>
      </c>
      <c r="C8" s="3"/>
      <c r="D8" s="4">
        <v>45156</v>
      </c>
      <c r="E8" s="3" t="s">
        <v>126</v>
      </c>
      <c r="F8" s="3" t="s">
        <v>167</v>
      </c>
      <c r="G8" s="3" t="s">
        <v>188</v>
      </c>
      <c r="H8" s="3">
        <v>105</v>
      </c>
      <c r="I8" s="3">
        <v>3</v>
      </c>
      <c r="J8" s="3">
        <v>315</v>
      </c>
      <c r="K8" s="3" t="s">
        <v>194</v>
      </c>
      <c r="L8" s="3" t="s">
        <v>195</v>
      </c>
      <c r="M8" s="3" t="s">
        <v>198</v>
      </c>
      <c r="N8" s="3">
        <v>315</v>
      </c>
      <c r="O8" s="3" t="s">
        <v>203</v>
      </c>
      <c r="P8" s="3">
        <v>1</v>
      </c>
      <c r="Q8" s="3"/>
      <c r="R8" s="3" t="s">
        <v>204</v>
      </c>
      <c r="S8" s="3">
        <v>0</v>
      </c>
      <c r="T8" s="3" t="s">
        <v>211</v>
      </c>
      <c r="U8" s="3" t="s">
        <v>232</v>
      </c>
      <c r="V8" s="3" t="str">
        <f>IFERROR(_xlfn.XLOOKUP(SalesTbl[[#This Row],[Customer ID]], CustomerTbl[Customer ID], CustomerTbl[Customer Name]), "Not Found")</f>
        <v>Noah Wilson</v>
      </c>
    </row>
    <row r="9" spans="1:22">
      <c r="A9" s="3" t="s">
        <v>28</v>
      </c>
      <c r="B9" s="4">
        <v>45017</v>
      </c>
      <c r="C9" s="3"/>
      <c r="D9" s="4">
        <v>45022</v>
      </c>
      <c r="E9" s="3" t="s">
        <v>127</v>
      </c>
      <c r="F9" s="3" t="s">
        <v>168</v>
      </c>
      <c r="G9" s="3" t="s">
        <v>189</v>
      </c>
      <c r="H9" s="3">
        <v>37</v>
      </c>
      <c r="I9" s="3">
        <v>5</v>
      </c>
      <c r="J9" s="3">
        <v>185</v>
      </c>
      <c r="K9" s="3" t="s">
        <v>192</v>
      </c>
      <c r="L9" s="3" t="s">
        <v>195</v>
      </c>
      <c r="M9" s="3" t="s">
        <v>198</v>
      </c>
      <c r="N9" s="3">
        <v>185</v>
      </c>
      <c r="O9" s="3" t="s">
        <v>203</v>
      </c>
      <c r="P9" s="3">
        <v>1</v>
      </c>
      <c r="Q9" s="3"/>
      <c r="R9" s="3" t="s">
        <v>204</v>
      </c>
      <c r="S9" s="3">
        <v>0</v>
      </c>
      <c r="T9" s="3" t="s">
        <v>212</v>
      </c>
      <c r="U9" s="3" t="s">
        <v>229</v>
      </c>
      <c r="V9" s="3" t="str">
        <f>IFERROR(_xlfn.XLOOKUP(SalesTbl[[#This Row],[Customer ID]], CustomerTbl[Customer ID], CustomerTbl[Customer Name]), "Not Found")</f>
        <v>Ava Robinson</v>
      </c>
    </row>
    <row r="10" spans="1:22">
      <c r="A10" s="3" t="s">
        <v>29</v>
      </c>
      <c r="B10" s="4">
        <v>45128</v>
      </c>
      <c r="C10" s="3"/>
      <c r="D10" s="3"/>
      <c r="E10" s="3" t="s">
        <v>128</v>
      </c>
      <c r="F10" s="3" t="s">
        <v>169</v>
      </c>
      <c r="G10" s="3" t="s">
        <v>188</v>
      </c>
      <c r="H10" s="3">
        <v>44</v>
      </c>
      <c r="I10" s="3">
        <v>2</v>
      </c>
      <c r="J10" s="3">
        <v>88</v>
      </c>
      <c r="K10" s="3" t="s">
        <v>191</v>
      </c>
      <c r="L10" s="3" t="s">
        <v>197</v>
      </c>
      <c r="M10" s="3" t="s">
        <v>201</v>
      </c>
      <c r="N10" s="3">
        <v>88</v>
      </c>
      <c r="O10" s="3" t="s">
        <v>203</v>
      </c>
      <c r="P10" s="3">
        <v>0</v>
      </c>
      <c r="Q10" s="3"/>
      <c r="R10" s="3" t="s">
        <v>204</v>
      </c>
      <c r="S10" s="3">
        <v>0</v>
      </c>
      <c r="T10" s="3" t="s">
        <v>213</v>
      </c>
      <c r="U10" s="3" t="s">
        <v>231</v>
      </c>
      <c r="V10" s="3" t="str">
        <f>IFERROR(_xlfn.XLOOKUP(SalesTbl[[#This Row],[Customer ID]], CustomerTbl[Customer ID], CustomerTbl[Customer Name]), "Not Found")</f>
        <v>Olivia Martinez</v>
      </c>
    </row>
    <row r="11" spans="1:22">
      <c r="A11" s="3" t="s">
        <v>30</v>
      </c>
      <c r="B11" s="4">
        <v>45289</v>
      </c>
      <c r="C11" s="3"/>
      <c r="D11" s="3"/>
      <c r="E11" s="3" t="s">
        <v>127</v>
      </c>
      <c r="F11" s="3" t="s">
        <v>170</v>
      </c>
      <c r="G11" s="3" t="s">
        <v>187</v>
      </c>
      <c r="H11" s="3">
        <v>141</v>
      </c>
      <c r="I11" s="3">
        <v>4</v>
      </c>
      <c r="J11" s="3">
        <v>564</v>
      </c>
      <c r="K11" s="3" t="s">
        <v>194</v>
      </c>
      <c r="L11" s="3" t="s">
        <v>197</v>
      </c>
      <c r="M11" s="3" t="s">
        <v>198</v>
      </c>
      <c r="N11" s="3">
        <v>564</v>
      </c>
      <c r="O11" s="3" t="s">
        <v>203</v>
      </c>
      <c r="P11" s="3">
        <v>0</v>
      </c>
      <c r="Q11" s="3"/>
      <c r="R11" s="3" t="s">
        <v>204</v>
      </c>
      <c r="S11" s="3">
        <v>0</v>
      </c>
      <c r="T11" s="3" t="s">
        <v>214</v>
      </c>
      <c r="U11" s="3" t="s">
        <v>229</v>
      </c>
      <c r="V11" s="3" t="str">
        <f>IFERROR(_xlfn.XLOOKUP(SalesTbl[[#This Row],[Customer ID]], CustomerTbl[Customer ID], CustomerTbl[Customer Name]), "Not Found")</f>
        <v>Ava Robinson</v>
      </c>
    </row>
    <row r="12" spans="1:22">
      <c r="A12" s="3" t="s">
        <v>31</v>
      </c>
      <c r="B12" s="4">
        <v>45050</v>
      </c>
      <c r="C12" s="3"/>
      <c r="D12" s="4">
        <v>45054</v>
      </c>
      <c r="E12" s="3" t="s">
        <v>129</v>
      </c>
      <c r="F12" s="3" t="s">
        <v>171</v>
      </c>
      <c r="G12" s="3" t="s">
        <v>187</v>
      </c>
      <c r="H12" s="3">
        <v>249</v>
      </c>
      <c r="I12" s="3">
        <v>1</v>
      </c>
      <c r="J12" s="3">
        <v>249</v>
      </c>
      <c r="K12" s="3" t="s">
        <v>193</v>
      </c>
      <c r="L12" s="3" t="s">
        <v>195</v>
      </c>
      <c r="M12" s="3" t="s">
        <v>199</v>
      </c>
      <c r="N12" s="3">
        <v>249</v>
      </c>
      <c r="O12" s="3" t="s">
        <v>203</v>
      </c>
      <c r="P12" s="3">
        <v>1</v>
      </c>
      <c r="Q12" s="3"/>
      <c r="R12" s="3" t="s">
        <v>204</v>
      </c>
      <c r="S12" s="3">
        <v>0</v>
      </c>
      <c r="T12" s="3" t="s">
        <v>215</v>
      </c>
      <c r="U12" s="3" t="s">
        <v>232</v>
      </c>
      <c r="V12" s="3" t="str">
        <f>IFERROR(_xlfn.XLOOKUP(SalesTbl[[#This Row],[Customer ID]], CustomerTbl[Customer ID], CustomerTbl[Customer Name]), "Not Found")</f>
        <v>Emily Johnson</v>
      </c>
    </row>
    <row r="13" spans="1:22">
      <c r="A13" s="3" t="s">
        <v>32</v>
      </c>
      <c r="B13" s="4">
        <v>45132</v>
      </c>
      <c r="C13" s="3"/>
      <c r="D13" s="3"/>
      <c r="E13" s="3" t="s">
        <v>130</v>
      </c>
      <c r="F13" s="3" t="s">
        <v>171</v>
      </c>
      <c r="G13" s="3" t="s">
        <v>188</v>
      </c>
      <c r="H13" s="3">
        <v>247</v>
      </c>
      <c r="I13" s="3">
        <v>3</v>
      </c>
      <c r="J13" s="3">
        <v>741</v>
      </c>
      <c r="K13" s="3" t="s">
        <v>193</v>
      </c>
      <c r="L13" s="3" t="s">
        <v>197</v>
      </c>
      <c r="M13" s="3" t="s">
        <v>202</v>
      </c>
      <c r="N13" s="3">
        <v>741</v>
      </c>
      <c r="O13" s="3" t="s">
        <v>203</v>
      </c>
      <c r="P13" s="3">
        <v>0</v>
      </c>
      <c r="Q13" s="3"/>
      <c r="R13" s="3" t="s">
        <v>204</v>
      </c>
      <c r="S13" s="3">
        <v>0</v>
      </c>
      <c r="T13" s="3" t="s">
        <v>215</v>
      </c>
      <c r="U13" s="3" t="s">
        <v>232</v>
      </c>
      <c r="V13" s="3" t="str">
        <f>IFERROR(_xlfn.XLOOKUP(SalesTbl[[#This Row],[Customer ID]], CustomerTbl[Customer ID], CustomerTbl[Customer Name]), "Not Found")</f>
        <v>Emily Johnson</v>
      </c>
    </row>
    <row r="14" spans="1:22">
      <c r="A14" s="3" t="s">
        <v>33</v>
      </c>
      <c r="B14" s="4">
        <v>44982</v>
      </c>
      <c r="C14" s="3"/>
      <c r="D14" s="4">
        <v>44985</v>
      </c>
      <c r="E14" s="3" t="s">
        <v>131</v>
      </c>
      <c r="F14" s="3" t="s">
        <v>172</v>
      </c>
      <c r="G14" s="3" t="s">
        <v>188</v>
      </c>
      <c r="H14" s="3">
        <v>96</v>
      </c>
      <c r="I14" s="3">
        <v>1</v>
      </c>
      <c r="J14" s="3">
        <v>96</v>
      </c>
      <c r="K14" s="3" t="s">
        <v>190</v>
      </c>
      <c r="L14" s="3" t="s">
        <v>195</v>
      </c>
      <c r="M14" s="3" t="s">
        <v>201</v>
      </c>
      <c r="N14" s="3">
        <v>96</v>
      </c>
      <c r="O14" s="3" t="s">
        <v>203</v>
      </c>
      <c r="P14" s="3">
        <v>1</v>
      </c>
      <c r="Q14" s="3"/>
      <c r="R14" s="3" t="s">
        <v>204</v>
      </c>
      <c r="S14" s="3">
        <v>0</v>
      </c>
      <c r="T14" s="3" t="s">
        <v>216</v>
      </c>
      <c r="U14" s="3" t="s">
        <v>231</v>
      </c>
      <c r="V14" s="3" t="str">
        <f>IFERROR(_xlfn.XLOOKUP(SalesTbl[[#This Row],[Customer ID]], CustomerTbl[Customer ID], CustomerTbl[Customer Name]), "Not Found")</f>
        <v>Charlotte Reed</v>
      </c>
    </row>
    <row r="15" spans="1:22">
      <c r="A15" s="3" t="s">
        <v>34</v>
      </c>
      <c r="B15" s="4">
        <v>44981</v>
      </c>
      <c r="C15" s="3"/>
      <c r="D15" s="4">
        <v>44982</v>
      </c>
      <c r="E15" s="3" t="s">
        <v>132</v>
      </c>
      <c r="F15" s="3" t="s">
        <v>173</v>
      </c>
      <c r="G15" s="3" t="s">
        <v>189</v>
      </c>
      <c r="H15" s="3">
        <v>74</v>
      </c>
      <c r="I15" s="3">
        <v>5</v>
      </c>
      <c r="J15" s="3">
        <v>370</v>
      </c>
      <c r="K15" s="3" t="s">
        <v>190</v>
      </c>
      <c r="L15" s="3" t="s">
        <v>195</v>
      </c>
      <c r="M15" s="3" t="s">
        <v>201</v>
      </c>
      <c r="N15" s="3">
        <v>370</v>
      </c>
      <c r="O15" s="3" t="s">
        <v>203</v>
      </c>
      <c r="P15" s="3">
        <v>1</v>
      </c>
      <c r="Q15" s="3"/>
      <c r="R15" s="3" t="s">
        <v>204</v>
      </c>
      <c r="S15" s="3">
        <v>0</v>
      </c>
      <c r="T15" s="3" t="s">
        <v>217</v>
      </c>
      <c r="U15" s="3" t="s">
        <v>232</v>
      </c>
      <c r="V15" s="3" t="str">
        <f>IFERROR(_xlfn.XLOOKUP(SalesTbl[[#This Row],[Customer ID]], CustomerTbl[Customer ID], CustomerTbl[Customer Name]), "Not Found")</f>
        <v>Hazel Rivera</v>
      </c>
    </row>
    <row r="16" spans="1:22">
      <c r="A16" s="3" t="s">
        <v>35</v>
      </c>
      <c r="B16" s="4">
        <v>45164</v>
      </c>
      <c r="C16" s="3"/>
      <c r="D16" s="4">
        <v>45171</v>
      </c>
      <c r="E16" s="3" t="s">
        <v>132</v>
      </c>
      <c r="F16" s="3" t="s">
        <v>174</v>
      </c>
      <c r="G16" s="3" t="s">
        <v>187</v>
      </c>
      <c r="H16" s="3">
        <v>27</v>
      </c>
      <c r="I16" s="3">
        <v>1</v>
      </c>
      <c r="J16" s="3">
        <v>27</v>
      </c>
      <c r="K16" s="3" t="s">
        <v>191</v>
      </c>
      <c r="L16" s="3" t="s">
        <v>195</v>
      </c>
      <c r="M16" s="3" t="s">
        <v>201</v>
      </c>
      <c r="N16" s="3">
        <v>27</v>
      </c>
      <c r="O16" s="3" t="s">
        <v>203</v>
      </c>
      <c r="P16" s="3">
        <v>1</v>
      </c>
      <c r="Q16" s="3"/>
      <c r="R16" s="3" t="s">
        <v>204</v>
      </c>
      <c r="S16" s="3">
        <v>0</v>
      </c>
      <c r="T16" s="3" t="s">
        <v>218</v>
      </c>
      <c r="U16" s="3" t="s">
        <v>231</v>
      </c>
      <c r="V16" s="3" t="str">
        <f>IFERROR(_xlfn.XLOOKUP(SalesTbl[[#This Row],[Customer ID]], CustomerTbl[Customer ID], CustomerTbl[Customer Name]), "Not Found")</f>
        <v>Hazel Rivera</v>
      </c>
    </row>
    <row r="17" spans="1:22">
      <c r="A17" s="3" t="s">
        <v>36</v>
      </c>
      <c r="B17" s="4">
        <v>44970</v>
      </c>
      <c r="C17" s="3"/>
      <c r="D17" s="3"/>
      <c r="E17" s="3" t="s">
        <v>133</v>
      </c>
      <c r="F17" s="3" t="s">
        <v>174</v>
      </c>
      <c r="G17" s="3" t="s">
        <v>187</v>
      </c>
      <c r="H17" s="3">
        <v>27</v>
      </c>
      <c r="I17" s="3">
        <v>3</v>
      </c>
      <c r="J17" s="3">
        <v>81</v>
      </c>
      <c r="K17" s="3" t="s">
        <v>194</v>
      </c>
      <c r="L17" s="3" t="s">
        <v>197</v>
      </c>
      <c r="M17" s="3" t="s">
        <v>201</v>
      </c>
      <c r="N17" s="3">
        <v>81</v>
      </c>
      <c r="O17" s="3" t="s">
        <v>203</v>
      </c>
      <c r="P17" s="3">
        <v>0</v>
      </c>
      <c r="Q17" s="3"/>
      <c r="R17" s="3" t="s">
        <v>204</v>
      </c>
      <c r="S17" s="3">
        <v>0</v>
      </c>
      <c r="T17" s="3" t="s">
        <v>218</v>
      </c>
      <c r="U17" s="3" t="s">
        <v>231</v>
      </c>
      <c r="V17" s="3" t="str">
        <f>IFERROR(_xlfn.XLOOKUP(SalesTbl[[#This Row],[Customer ID]], CustomerTbl[Customer ID], CustomerTbl[Customer Name]), "Not Found")</f>
        <v>Scarlett Murphy</v>
      </c>
    </row>
    <row r="18" spans="1:22">
      <c r="A18" s="3" t="s">
        <v>37</v>
      </c>
      <c r="B18" s="4">
        <v>45105</v>
      </c>
      <c r="C18" s="4">
        <v>45108</v>
      </c>
      <c r="D18" s="3"/>
      <c r="E18" s="3" t="s">
        <v>130</v>
      </c>
      <c r="F18" s="3" t="s">
        <v>175</v>
      </c>
      <c r="G18" s="3" t="s">
        <v>186</v>
      </c>
      <c r="H18" s="3">
        <v>21</v>
      </c>
      <c r="I18" s="3">
        <v>3</v>
      </c>
      <c r="J18" s="3">
        <v>63</v>
      </c>
      <c r="K18" s="3" t="s">
        <v>191</v>
      </c>
      <c r="L18" s="3" t="s">
        <v>196</v>
      </c>
      <c r="M18" s="3" t="s">
        <v>198</v>
      </c>
      <c r="N18" s="3">
        <v>63</v>
      </c>
      <c r="O18" s="3" t="s">
        <v>203</v>
      </c>
      <c r="P18" s="3">
        <v>0</v>
      </c>
      <c r="Q18" s="3">
        <v>3</v>
      </c>
      <c r="R18" s="3" t="s">
        <v>206</v>
      </c>
      <c r="S18" s="3">
        <v>63</v>
      </c>
      <c r="T18" s="3" t="s">
        <v>219</v>
      </c>
      <c r="U18" s="3" t="s">
        <v>233</v>
      </c>
      <c r="V18" s="3" t="str">
        <f>IFERROR(_xlfn.XLOOKUP(SalesTbl[[#This Row],[Customer ID]], CustomerTbl[Customer ID], CustomerTbl[Customer Name]), "Not Found")</f>
        <v>Emily Johnson</v>
      </c>
    </row>
    <row r="19" spans="1:22">
      <c r="A19" s="3" t="s">
        <v>38</v>
      </c>
      <c r="B19" s="4">
        <v>45258</v>
      </c>
      <c r="C19" s="3"/>
      <c r="D19" s="3"/>
      <c r="E19" s="3" t="s">
        <v>134</v>
      </c>
      <c r="F19" s="3" t="s">
        <v>176</v>
      </c>
      <c r="G19" s="3" t="s">
        <v>189</v>
      </c>
      <c r="H19" s="3">
        <v>70</v>
      </c>
      <c r="I19" s="3">
        <v>5</v>
      </c>
      <c r="J19" s="3">
        <v>350</v>
      </c>
      <c r="K19" s="3" t="s">
        <v>192</v>
      </c>
      <c r="L19" s="3" t="s">
        <v>197</v>
      </c>
      <c r="M19" s="3" t="s">
        <v>201</v>
      </c>
      <c r="N19" s="3">
        <v>350</v>
      </c>
      <c r="O19" s="3" t="s">
        <v>203</v>
      </c>
      <c r="P19" s="3">
        <v>0</v>
      </c>
      <c r="Q19" s="3"/>
      <c r="R19" s="3" t="s">
        <v>204</v>
      </c>
      <c r="S19" s="3">
        <v>0</v>
      </c>
      <c r="T19" s="3" t="s">
        <v>220</v>
      </c>
      <c r="U19" s="3" t="s">
        <v>233</v>
      </c>
      <c r="V19" s="3" t="str">
        <f>IFERROR(_xlfn.XLOOKUP(SalesTbl[[#This Row],[Customer ID]], CustomerTbl[Customer ID], CustomerTbl[Customer Name]), "Not Found")</f>
        <v>Mason Hall</v>
      </c>
    </row>
    <row r="20" spans="1:22">
      <c r="A20" s="3" t="s">
        <v>39</v>
      </c>
      <c r="B20" s="4">
        <v>45163</v>
      </c>
      <c r="C20" s="3"/>
      <c r="D20" s="3"/>
      <c r="E20" s="3" t="s">
        <v>135</v>
      </c>
      <c r="F20" s="3" t="s">
        <v>172</v>
      </c>
      <c r="G20" s="3" t="s">
        <v>187</v>
      </c>
      <c r="H20" s="3">
        <v>94</v>
      </c>
      <c r="I20" s="3">
        <v>4</v>
      </c>
      <c r="J20" s="3">
        <v>376</v>
      </c>
      <c r="K20" s="3" t="s">
        <v>191</v>
      </c>
      <c r="L20" s="3" t="s">
        <v>197</v>
      </c>
      <c r="M20" s="3" t="s">
        <v>199</v>
      </c>
      <c r="N20" s="3">
        <v>376</v>
      </c>
      <c r="O20" s="3" t="s">
        <v>203</v>
      </c>
      <c r="P20" s="3">
        <v>0</v>
      </c>
      <c r="Q20" s="3"/>
      <c r="R20" s="3" t="s">
        <v>204</v>
      </c>
      <c r="S20" s="3">
        <v>0</v>
      </c>
      <c r="T20" s="3" t="s">
        <v>216</v>
      </c>
      <c r="U20" s="3" t="s">
        <v>231</v>
      </c>
      <c r="V20" s="3" t="str">
        <f>IFERROR(_xlfn.XLOOKUP(SalesTbl[[#This Row],[Customer ID]], CustomerTbl[Customer ID], CustomerTbl[Customer Name]), "Not Found")</f>
        <v>Jacob Price</v>
      </c>
    </row>
    <row r="21" spans="1:22">
      <c r="A21" s="3" t="s">
        <v>40</v>
      </c>
      <c r="B21" s="4">
        <v>45028</v>
      </c>
      <c r="C21" s="3"/>
      <c r="D21" s="3"/>
      <c r="E21" s="3" t="s">
        <v>136</v>
      </c>
      <c r="F21" s="3" t="s">
        <v>177</v>
      </c>
      <c r="G21" s="3" t="s">
        <v>185</v>
      </c>
      <c r="H21" s="3">
        <v>813</v>
      </c>
      <c r="I21" s="3">
        <v>2</v>
      </c>
      <c r="J21" s="3">
        <v>1626</v>
      </c>
      <c r="K21" s="3" t="s">
        <v>191</v>
      </c>
      <c r="L21" s="3" t="s">
        <v>197</v>
      </c>
      <c r="M21" s="3" t="s">
        <v>202</v>
      </c>
      <c r="N21" s="3">
        <v>1626</v>
      </c>
      <c r="O21" s="3" t="s">
        <v>203</v>
      </c>
      <c r="P21" s="3">
        <v>0</v>
      </c>
      <c r="Q21" s="3"/>
      <c r="R21" s="3" t="s">
        <v>204</v>
      </c>
      <c r="S21" s="3">
        <v>0</v>
      </c>
      <c r="T21" s="3" t="s">
        <v>221</v>
      </c>
      <c r="U21" s="3" t="s">
        <v>232</v>
      </c>
      <c r="V21" s="3" t="str">
        <f>IFERROR(_xlfn.XLOOKUP(SalesTbl[[#This Row],[Customer ID]], CustomerTbl[Customer ID], CustomerTbl[Customer Name]), "Not Found")</f>
        <v>Emma King</v>
      </c>
    </row>
    <row r="22" spans="1:22">
      <c r="A22" s="3" t="s">
        <v>41</v>
      </c>
      <c r="B22" s="4">
        <v>45201</v>
      </c>
      <c r="C22" s="3"/>
      <c r="D22" s="3"/>
      <c r="E22" s="3" t="s">
        <v>128</v>
      </c>
      <c r="F22" s="3" t="s">
        <v>175</v>
      </c>
      <c r="G22" s="3" t="s">
        <v>188</v>
      </c>
      <c r="H22" s="3">
        <v>21</v>
      </c>
      <c r="I22" s="3">
        <v>4</v>
      </c>
      <c r="J22" s="3">
        <v>84</v>
      </c>
      <c r="K22" s="3" t="s">
        <v>192</v>
      </c>
      <c r="L22" s="3" t="s">
        <v>197</v>
      </c>
      <c r="M22" s="3" t="s">
        <v>201</v>
      </c>
      <c r="N22" s="3">
        <v>84</v>
      </c>
      <c r="O22" s="3" t="s">
        <v>203</v>
      </c>
      <c r="P22" s="3">
        <v>0</v>
      </c>
      <c r="Q22" s="3"/>
      <c r="R22" s="3" t="s">
        <v>204</v>
      </c>
      <c r="S22" s="3">
        <v>0</v>
      </c>
      <c r="T22" s="3" t="s">
        <v>219</v>
      </c>
      <c r="U22" s="3" t="s">
        <v>233</v>
      </c>
      <c r="V22" s="3" t="str">
        <f>IFERROR(_xlfn.XLOOKUP(SalesTbl[[#This Row],[Customer ID]], CustomerTbl[Customer ID], CustomerTbl[Customer Name]), "Not Found")</f>
        <v>Olivia Martinez</v>
      </c>
    </row>
    <row r="23" spans="1:22">
      <c r="A23" s="3" t="s">
        <v>42</v>
      </c>
      <c r="B23" s="4">
        <v>45239</v>
      </c>
      <c r="C23" s="3"/>
      <c r="D23" s="3"/>
      <c r="E23" s="3" t="s">
        <v>131</v>
      </c>
      <c r="F23" s="3" t="s">
        <v>163</v>
      </c>
      <c r="G23" s="3" t="s">
        <v>189</v>
      </c>
      <c r="H23" s="3">
        <v>46</v>
      </c>
      <c r="I23" s="3">
        <v>5</v>
      </c>
      <c r="J23" s="3">
        <v>230</v>
      </c>
      <c r="K23" s="3" t="s">
        <v>192</v>
      </c>
      <c r="L23" s="3" t="s">
        <v>197</v>
      </c>
      <c r="M23" s="3" t="s">
        <v>199</v>
      </c>
      <c r="N23" s="3">
        <v>230</v>
      </c>
      <c r="O23" s="3" t="s">
        <v>203</v>
      </c>
      <c r="P23" s="3">
        <v>0</v>
      </c>
      <c r="Q23" s="3"/>
      <c r="R23" s="3" t="s">
        <v>204</v>
      </c>
      <c r="S23" s="3">
        <v>0</v>
      </c>
      <c r="T23" s="3" t="s">
        <v>207</v>
      </c>
      <c r="U23" s="3" t="s">
        <v>229</v>
      </c>
      <c r="V23" s="3" t="str">
        <f>IFERROR(_xlfn.XLOOKUP(SalesTbl[[#This Row],[Customer ID]], CustomerTbl[Customer ID], CustomerTbl[Customer Name]), "Not Found")</f>
        <v>Charlotte Reed</v>
      </c>
    </row>
    <row r="24" spans="1:22">
      <c r="A24" s="3" t="s">
        <v>43</v>
      </c>
      <c r="B24" s="4">
        <v>44970</v>
      </c>
      <c r="C24" s="3"/>
      <c r="D24" s="4">
        <v>44971</v>
      </c>
      <c r="E24" s="3" t="s">
        <v>137</v>
      </c>
      <c r="F24" s="3" t="s">
        <v>166</v>
      </c>
      <c r="G24" s="3" t="s">
        <v>189</v>
      </c>
      <c r="H24" s="3">
        <v>58</v>
      </c>
      <c r="I24" s="3">
        <v>3</v>
      </c>
      <c r="J24" s="3">
        <v>174</v>
      </c>
      <c r="K24" s="3" t="s">
        <v>193</v>
      </c>
      <c r="L24" s="3" t="s">
        <v>195</v>
      </c>
      <c r="M24" s="3" t="s">
        <v>201</v>
      </c>
      <c r="N24" s="3">
        <v>174</v>
      </c>
      <c r="O24" s="3" t="s">
        <v>203</v>
      </c>
      <c r="P24" s="3">
        <v>1</v>
      </c>
      <c r="Q24" s="3"/>
      <c r="R24" s="3" t="s">
        <v>204</v>
      </c>
      <c r="S24" s="3">
        <v>0</v>
      </c>
      <c r="T24" s="3" t="s">
        <v>210</v>
      </c>
      <c r="U24" s="3" t="s">
        <v>231</v>
      </c>
      <c r="V24" s="3" t="str">
        <f>IFERROR(_xlfn.XLOOKUP(SalesTbl[[#This Row],[Customer ID]], CustomerTbl[Customer ID], CustomerTbl[Customer Name]), "Not Found")</f>
        <v>Elijah Lewis</v>
      </c>
    </row>
    <row r="25" spans="1:22">
      <c r="A25" s="3" t="s">
        <v>44</v>
      </c>
      <c r="B25" s="4">
        <v>45232</v>
      </c>
      <c r="C25" s="4">
        <v>45235</v>
      </c>
      <c r="D25" s="3"/>
      <c r="E25" s="3" t="s">
        <v>138</v>
      </c>
      <c r="F25" s="3" t="s">
        <v>172</v>
      </c>
      <c r="G25" s="3" t="s">
        <v>189</v>
      </c>
      <c r="H25" s="3">
        <v>96</v>
      </c>
      <c r="I25" s="3">
        <v>5</v>
      </c>
      <c r="J25" s="3">
        <v>480</v>
      </c>
      <c r="K25" s="3" t="s">
        <v>193</v>
      </c>
      <c r="L25" s="3" t="s">
        <v>196</v>
      </c>
      <c r="M25" s="3" t="s">
        <v>201</v>
      </c>
      <c r="N25" s="3">
        <v>480</v>
      </c>
      <c r="O25" s="3" t="s">
        <v>203</v>
      </c>
      <c r="P25" s="3">
        <v>0</v>
      </c>
      <c r="Q25" s="3">
        <v>3</v>
      </c>
      <c r="R25" s="3" t="s">
        <v>206</v>
      </c>
      <c r="S25" s="3">
        <v>480</v>
      </c>
      <c r="T25" s="3" t="s">
        <v>216</v>
      </c>
      <c r="U25" s="3" t="s">
        <v>231</v>
      </c>
      <c r="V25" s="3" t="str">
        <f>IFERROR(_xlfn.XLOOKUP(SalesTbl[[#This Row],[Customer ID]], CustomerTbl[Customer ID], CustomerTbl[Customer Name]), "Not Found")</f>
        <v>Lily Bennett</v>
      </c>
    </row>
    <row r="26" spans="1:22">
      <c r="A26" s="3" t="s">
        <v>45</v>
      </c>
      <c r="B26" s="4">
        <v>45074</v>
      </c>
      <c r="C26" s="4">
        <v>45076</v>
      </c>
      <c r="D26" s="3"/>
      <c r="E26" s="3" t="s">
        <v>139</v>
      </c>
      <c r="F26" s="3" t="s">
        <v>178</v>
      </c>
      <c r="G26" s="3" t="s">
        <v>187</v>
      </c>
      <c r="H26" s="3">
        <v>43</v>
      </c>
      <c r="I26" s="3">
        <v>1</v>
      </c>
      <c r="J26" s="3">
        <v>43</v>
      </c>
      <c r="K26" s="3" t="s">
        <v>194</v>
      </c>
      <c r="L26" s="3" t="s">
        <v>196</v>
      </c>
      <c r="M26" s="3" t="s">
        <v>201</v>
      </c>
      <c r="N26" s="3">
        <v>43</v>
      </c>
      <c r="O26" s="3" t="s">
        <v>203</v>
      </c>
      <c r="P26" s="3">
        <v>0</v>
      </c>
      <c r="Q26" s="3">
        <v>2</v>
      </c>
      <c r="R26" s="3" t="s">
        <v>205</v>
      </c>
      <c r="S26" s="3">
        <v>43</v>
      </c>
      <c r="T26" s="3" t="s">
        <v>222</v>
      </c>
      <c r="U26" s="3" t="s">
        <v>230</v>
      </c>
      <c r="V26" s="3" t="str">
        <f>IFERROR(_xlfn.XLOOKUP(SalesTbl[[#This Row],[Customer ID]], CustomerTbl[Customer ID], CustomerTbl[Customer Name]), "Not Found")</f>
        <v>Benjamin Clark</v>
      </c>
    </row>
    <row r="27" spans="1:22">
      <c r="A27" s="3" t="s">
        <v>46</v>
      </c>
      <c r="B27" s="4">
        <v>45214</v>
      </c>
      <c r="C27" s="4">
        <v>45220</v>
      </c>
      <c r="D27" s="3"/>
      <c r="E27" s="3" t="s">
        <v>124</v>
      </c>
      <c r="F27" s="3" t="s">
        <v>179</v>
      </c>
      <c r="G27" s="3" t="s">
        <v>187</v>
      </c>
      <c r="H27" s="3">
        <v>64</v>
      </c>
      <c r="I27" s="3">
        <v>4</v>
      </c>
      <c r="J27" s="3">
        <v>256</v>
      </c>
      <c r="K27" s="3" t="s">
        <v>194</v>
      </c>
      <c r="L27" s="3" t="s">
        <v>196</v>
      </c>
      <c r="M27" s="3" t="s">
        <v>199</v>
      </c>
      <c r="N27" s="3">
        <v>256</v>
      </c>
      <c r="O27" s="3" t="s">
        <v>203</v>
      </c>
      <c r="P27" s="3">
        <v>0</v>
      </c>
      <c r="Q27" s="3">
        <v>6</v>
      </c>
      <c r="R27" s="3" t="s">
        <v>206</v>
      </c>
      <c r="S27" s="3">
        <v>256</v>
      </c>
      <c r="T27" s="3" t="s">
        <v>223</v>
      </c>
      <c r="U27" s="3" t="s">
        <v>231</v>
      </c>
      <c r="V27" s="3" t="str">
        <f>IFERROR(_xlfn.XLOOKUP(SalesTbl[[#This Row],[Customer ID]], CustomerTbl[Customer ID], CustomerTbl[Customer Name]), "Not Found")</f>
        <v>Hazel Brooks</v>
      </c>
    </row>
    <row r="28" spans="1:22">
      <c r="A28" s="3" t="s">
        <v>47</v>
      </c>
      <c r="B28" s="4">
        <v>44942</v>
      </c>
      <c r="C28" s="3"/>
      <c r="D28" s="3"/>
      <c r="E28" s="3" t="s">
        <v>140</v>
      </c>
      <c r="F28" s="3" t="s">
        <v>176</v>
      </c>
      <c r="G28" s="3" t="s">
        <v>187</v>
      </c>
      <c r="H28" s="3">
        <v>70</v>
      </c>
      <c r="I28" s="3">
        <v>2</v>
      </c>
      <c r="J28" s="3">
        <v>140</v>
      </c>
      <c r="K28" s="3" t="s">
        <v>193</v>
      </c>
      <c r="L28" s="3" t="s">
        <v>197</v>
      </c>
      <c r="M28" s="3" t="s">
        <v>201</v>
      </c>
      <c r="N28" s="3">
        <v>140</v>
      </c>
      <c r="O28" s="3" t="s">
        <v>203</v>
      </c>
      <c r="P28" s="3">
        <v>0</v>
      </c>
      <c r="Q28" s="3"/>
      <c r="R28" s="3" t="s">
        <v>204</v>
      </c>
      <c r="S28" s="3">
        <v>0</v>
      </c>
      <c r="T28" s="3" t="s">
        <v>220</v>
      </c>
      <c r="U28" s="3" t="s">
        <v>233</v>
      </c>
      <c r="V28" s="3" t="str">
        <f>IFERROR(_xlfn.XLOOKUP(SalesTbl[[#This Row],[Customer ID]], CustomerTbl[Customer ID], CustomerTbl[Customer Name]), "Not Found")</f>
        <v>Grace Scott</v>
      </c>
    </row>
    <row r="29" spans="1:22">
      <c r="A29" s="3" t="s">
        <v>48</v>
      </c>
      <c r="B29" s="4">
        <v>45208</v>
      </c>
      <c r="C29" s="3"/>
      <c r="D29" s="3"/>
      <c r="E29" s="3" t="s">
        <v>140</v>
      </c>
      <c r="F29" s="3" t="s">
        <v>164</v>
      </c>
      <c r="G29" s="3" t="s">
        <v>188</v>
      </c>
      <c r="H29" s="3">
        <v>97</v>
      </c>
      <c r="I29" s="3">
        <v>3</v>
      </c>
      <c r="J29" s="3">
        <v>291</v>
      </c>
      <c r="K29" s="3" t="s">
        <v>191</v>
      </c>
      <c r="L29" s="3" t="s">
        <v>197</v>
      </c>
      <c r="M29" s="3" t="s">
        <v>201</v>
      </c>
      <c r="N29" s="3">
        <v>291</v>
      </c>
      <c r="O29" s="3" t="s">
        <v>203</v>
      </c>
      <c r="P29" s="3">
        <v>0</v>
      </c>
      <c r="Q29" s="3"/>
      <c r="R29" s="3" t="s">
        <v>204</v>
      </c>
      <c r="S29" s="3">
        <v>0</v>
      </c>
      <c r="T29" s="3" t="s">
        <v>208</v>
      </c>
      <c r="U29" s="3" t="s">
        <v>230</v>
      </c>
      <c r="V29" s="3" t="str">
        <f>IFERROR(_xlfn.XLOOKUP(SalesTbl[[#This Row],[Customer ID]], CustomerTbl[Customer ID], CustomerTbl[Customer Name]), "Not Found")</f>
        <v>Grace Scott</v>
      </c>
    </row>
    <row r="30" spans="1:22">
      <c r="A30" s="3" t="s">
        <v>49</v>
      </c>
      <c r="B30" s="4">
        <v>45206</v>
      </c>
      <c r="C30" s="3"/>
      <c r="D30" s="4">
        <v>45209</v>
      </c>
      <c r="E30" s="3" t="s">
        <v>141</v>
      </c>
      <c r="F30" s="3" t="s">
        <v>168</v>
      </c>
      <c r="G30" s="3" t="s">
        <v>186</v>
      </c>
      <c r="H30" s="3">
        <v>37</v>
      </c>
      <c r="I30" s="3">
        <v>3</v>
      </c>
      <c r="J30" s="3">
        <v>111</v>
      </c>
      <c r="K30" s="3" t="s">
        <v>190</v>
      </c>
      <c r="L30" s="3" t="s">
        <v>195</v>
      </c>
      <c r="M30" s="3" t="s">
        <v>198</v>
      </c>
      <c r="N30" s="3">
        <v>111</v>
      </c>
      <c r="O30" s="3" t="s">
        <v>203</v>
      </c>
      <c r="P30" s="3">
        <v>1</v>
      </c>
      <c r="Q30" s="3"/>
      <c r="R30" s="3" t="s">
        <v>204</v>
      </c>
      <c r="S30" s="3">
        <v>0</v>
      </c>
      <c r="T30" s="3" t="s">
        <v>212</v>
      </c>
      <c r="U30" s="3" t="s">
        <v>229</v>
      </c>
      <c r="V30" s="3" t="str">
        <f>IFERROR(_xlfn.XLOOKUP(SalesTbl[[#This Row],[Customer ID]], CustomerTbl[Customer ID], CustomerTbl[Customer Name]), "Not Found")</f>
        <v>Liam Walker</v>
      </c>
    </row>
    <row r="31" spans="1:22">
      <c r="A31" s="3" t="s">
        <v>50</v>
      </c>
      <c r="B31" s="4">
        <v>44971</v>
      </c>
      <c r="C31" s="3"/>
      <c r="D31" s="3"/>
      <c r="E31" s="3" t="s">
        <v>142</v>
      </c>
      <c r="F31" s="3" t="s">
        <v>176</v>
      </c>
      <c r="G31" s="3" t="s">
        <v>185</v>
      </c>
      <c r="H31" s="3">
        <v>69</v>
      </c>
      <c r="I31" s="3">
        <v>5</v>
      </c>
      <c r="J31" s="3">
        <v>345</v>
      </c>
      <c r="K31" s="3" t="s">
        <v>193</v>
      </c>
      <c r="L31" s="3" t="s">
        <v>197</v>
      </c>
      <c r="M31" s="3" t="s">
        <v>201</v>
      </c>
      <c r="N31" s="3">
        <v>345</v>
      </c>
      <c r="O31" s="3" t="s">
        <v>203</v>
      </c>
      <c r="P31" s="3">
        <v>0</v>
      </c>
      <c r="Q31" s="3"/>
      <c r="R31" s="3" t="s">
        <v>204</v>
      </c>
      <c r="S31" s="3">
        <v>0</v>
      </c>
      <c r="T31" s="3" t="s">
        <v>220</v>
      </c>
      <c r="U31" s="3" t="s">
        <v>233</v>
      </c>
      <c r="V31" s="3" t="str">
        <f>IFERROR(_xlfn.XLOOKUP(SalesTbl[[#This Row],[Customer ID]], CustomerTbl[Customer ID], CustomerTbl[Customer Name]), "Not Found")</f>
        <v>Harper Young</v>
      </c>
    </row>
    <row r="32" spans="1:22">
      <c r="A32" s="3" t="s">
        <v>51</v>
      </c>
      <c r="B32" s="4">
        <v>45011</v>
      </c>
      <c r="C32" s="3"/>
      <c r="D32" s="3"/>
      <c r="E32" s="3" t="s">
        <v>143</v>
      </c>
      <c r="F32" s="3" t="s">
        <v>178</v>
      </c>
      <c r="G32" s="3" t="s">
        <v>185</v>
      </c>
      <c r="H32" s="3">
        <v>42</v>
      </c>
      <c r="I32" s="3">
        <v>5</v>
      </c>
      <c r="J32" s="3">
        <v>210</v>
      </c>
      <c r="K32" s="3" t="s">
        <v>193</v>
      </c>
      <c r="L32" s="3" t="s">
        <v>197</v>
      </c>
      <c r="M32" s="3" t="s">
        <v>200</v>
      </c>
      <c r="N32" s="3">
        <v>210</v>
      </c>
      <c r="O32" s="3" t="s">
        <v>203</v>
      </c>
      <c r="P32" s="3">
        <v>0</v>
      </c>
      <c r="Q32" s="3"/>
      <c r="R32" s="3" t="s">
        <v>204</v>
      </c>
      <c r="S32" s="3">
        <v>0</v>
      </c>
      <c r="T32" s="3" t="s">
        <v>222</v>
      </c>
      <c r="U32" s="3" t="s">
        <v>230</v>
      </c>
      <c r="V32" s="3" t="str">
        <f>IFERROR(_xlfn.XLOOKUP(SalesTbl[[#This Row],[Customer ID]], CustomerTbl[Customer ID], CustomerTbl[Customer Name]), "Not Found")</f>
        <v>Harper Young</v>
      </c>
    </row>
    <row r="33" spans="1:22">
      <c r="A33" s="3" t="s">
        <v>52</v>
      </c>
      <c r="B33" s="4">
        <v>45092</v>
      </c>
      <c r="C33" s="3"/>
      <c r="D33" s="4">
        <v>45099</v>
      </c>
      <c r="E33" s="3" t="s">
        <v>144</v>
      </c>
      <c r="F33" s="3" t="s">
        <v>180</v>
      </c>
      <c r="G33" s="3" t="s">
        <v>186</v>
      </c>
      <c r="H33" s="3">
        <v>11</v>
      </c>
      <c r="I33" s="3">
        <v>5</v>
      </c>
      <c r="J33" s="3">
        <v>55</v>
      </c>
      <c r="K33" s="3" t="s">
        <v>194</v>
      </c>
      <c r="L33" s="3" t="s">
        <v>195</v>
      </c>
      <c r="M33" s="3" t="s">
        <v>202</v>
      </c>
      <c r="N33" s="3">
        <v>55</v>
      </c>
      <c r="O33" s="3" t="s">
        <v>203</v>
      </c>
      <c r="P33" s="3">
        <v>1</v>
      </c>
      <c r="Q33" s="3"/>
      <c r="R33" s="3" t="s">
        <v>204</v>
      </c>
      <c r="S33" s="3">
        <v>0</v>
      </c>
      <c r="T33" s="3" t="s">
        <v>224</v>
      </c>
      <c r="U33" s="3" t="s">
        <v>233</v>
      </c>
      <c r="V33" s="3" t="str">
        <f>IFERROR(_xlfn.XLOOKUP(SalesTbl[[#This Row],[Customer ID]], CustomerTbl[Customer ID], CustomerTbl[Customer Name]), "Not Found")</f>
        <v>Emily Johnson</v>
      </c>
    </row>
    <row r="34" spans="1:22">
      <c r="A34" s="3" t="s">
        <v>53</v>
      </c>
      <c r="B34" s="4">
        <v>45068</v>
      </c>
      <c r="C34" s="4">
        <v>45069</v>
      </c>
      <c r="D34" s="3"/>
      <c r="E34" s="3" t="s">
        <v>137</v>
      </c>
      <c r="F34" s="3" t="s">
        <v>174</v>
      </c>
      <c r="G34" s="3" t="s">
        <v>187</v>
      </c>
      <c r="H34" s="3">
        <v>27</v>
      </c>
      <c r="I34" s="3">
        <v>2</v>
      </c>
      <c r="J34" s="3">
        <v>54</v>
      </c>
      <c r="K34" s="3" t="s">
        <v>190</v>
      </c>
      <c r="L34" s="3" t="s">
        <v>196</v>
      </c>
      <c r="M34" s="3" t="s">
        <v>199</v>
      </c>
      <c r="N34" s="3">
        <v>54</v>
      </c>
      <c r="O34" s="3" t="s">
        <v>203</v>
      </c>
      <c r="P34" s="3">
        <v>0</v>
      </c>
      <c r="Q34" s="3">
        <v>1</v>
      </c>
      <c r="R34" s="3" t="s">
        <v>205</v>
      </c>
      <c r="S34" s="3">
        <v>54</v>
      </c>
      <c r="T34" s="3" t="s">
        <v>218</v>
      </c>
      <c r="U34" s="3" t="s">
        <v>231</v>
      </c>
      <c r="V34" s="3" t="str">
        <f>IFERROR(_xlfn.XLOOKUP(SalesTbl[[#This Row],[Customer ID]], CustomerTbl[Customer ID], CustomerTbl[Customer Name]), "Not Found")</f>
        <v>Elijah Lewis</v>
      </c>
    </row>
    <row r="35" spans="1:22">
      <c r="A35" s="3" t="s">
        <v>54</v>
      </c>
      <c r="B35" s="4">
        <v>45250</v>
      </c>
      <c r="C35" s="3"/>
      <c r="D35" s="3"/>
      <c r="E35" s="3" t="s">
        <v>136</v>
      </c>
      <c r="F35" s="3" t="s">
        <v>175</v>
      </c>
      <c r="G35" s="3" t="s">
        <v>187</v>
      </c>
      <c r="H35" s="3">
        <v>21</v>
      </c>
      <c r="I35" s="3">
        <v>1</v>
      </c>
      <c r="J35" s="3">
        <v>21</v>
      </c>
      <c r="K35" s="3" t="s">
        <v>193</v>
      </c>
      <c r="L35" s="3" t="s">
        <v>197</v>
      </c>
      <c r="M35" s="3" t="s">
        <v>198</v>
      </c>
      <c r="N35" s="3">
        <v>21</v>
      </c>
      <c r="O35" s="3" t="s">
        <v>203</v>
      </c>
      <c r="P35" s="3">
        <v>0</v>
      </c>
      <c r="Q35" s="3"/>
      <c r="R35" s="3" t="s">
        <v>204</v>
      </c>
      <c r="S35" s="3">
        <v>0</v>
      </c>
      <c r="T35" s="3" t="s">
        <v>219</v>
      </c>
      <c r="U35" s="3" t="s">
        <v>233</v>
      </c>
      <c r="V35" s="3" t="str">
        <f>IFERROR(_xlfn.XLOOKUP(SalesTbl[[#This Row],[Customer ID]], CustomerTbl[Customer ID], CustomerTbl[Customer Name]), "Not Found")</f>
        <v>Emma King</v>
      </c>
    </row>
    <row r="36" spans="1:22">
      <c r="A36" s="3" t="s">
        <v>55</v>
      </c>
      <c r="B36" s="4">
        <v>45282</v>
      </c>
      <c r="C36" s="4">
        <v>45286</v>
      </c>
      <c r="D36" s="3"/>
      <c r="E36" s="3" t="s">
        <v>145</v>
      </c>
      <c r="F36" s="3" t="s">
        <v>181</v>
      </c>
      <c r="G36" s="3" t="s">
        <v>187</v>
      </c>
      <c r="H36" s="3">
        <v>172</v>
      </c>
      <c r="I36" s="3">
        <v>1</v>
      </c>
      <c r="J36" s="3">
        <v>172</v>
      </c>
      <c r="K36" s="3" t="s">
        <v>192</v>
      </c>
      <c r="L36" s="3" t="s">
        <v>196</v>
      </c>
      <c r="M36" s="3" t="s">
        <v>199</v>
      </c>
      <c r="N36" s="3">
        <v>172</v>
      </c>
      <c r="O36" s="3" t="s">
        <v>203</v>
      </c>
      <c r="P36" s="3">
        <v>0</v>
      </c>
      <c r="Q36" s="3">
        <v>4</v>
      </c>
      <c r="R36" s="3" t="s">
        <v>206</v>
      </c>
      <c r="S36" s="3">
        <v>172</v>
      </c>
      <c r="T36" s="3" t="s">
        <v>225</v>
      </c>
      <c r="U36" s="3" t="s">
        <v>232</v>
      </c>
      <c r="V36" s="3" t="str">
        <f>IFERROR(_xlfn.XLOOKUP(SalesTbl[[#This Row],[Customer ID]], CustomerTbl[Customer ID], CustomerTbl[Customer Name]), "Not Found")</f>
        <v>Luke Gray</v>
      </c>
    </row>
    <row r="37" spans="1:22">
      <c r="A37" s="3" t="s">
        <v>56</v>
      </c>
      <c r="B37" s="4">
        <v>45130</v>
      </c>
      <c r="C37" s="3"/>
      <c r="D37" s="3"/>
      <c r="E37" s="3" t="s">
        <v>143</v>
      </c>
      <c r="F37" s="3" t="s">
        <v>182</v>
      </c>
      <c r="G37" s="3" t="s">
        <v>185</v>
      </c>
      <c r="H37" s="3">
        <v>212</v>
      </c>
      <c r="I37" s="3">
        <v>3</v>
      </c>
      <c r="J37" s="3">
        <v>636</v>
      </c>
      <c r="K37" s="3" t="s">
        <v>193</v>
      </c>
      <c r="L37" s="3" t="s">
        <v>197</v>
      </c>
      <c r="M37" s="3" t="s">
        <v>200</v>
      </c>
      <c r="N37" s="3">
        <v>636</v>
      </c>
      <c r="O37" s="3" t="s">
        <v>203</v>
      </c>
      <c r="P37" s="3">
        <v>0</v>
      </c>
      <c r="Q37" s="3"/>
      <c r="R37" s="3" t="s">
        <v>204</v>
      </c>
      <c r="S37" s="3">
        <v>0</v>
      </c>
      <c r="T37" s="3" t="s">
        <v>226</v>
      </c>
      <c r="U37" s="3" t="s">
        <v>229</v>
      </c>
      <c r="V37" s="3" t="str">
        <f>IFERROR(_xlfn.XLOOKUP(SalesTbl[[#This Row],[Customer ID]], CustomerTbl[Customer ID], CustomerTbl[Customer Name]), "Not Found")</f>
        <v>Harper Young</v>
      </c>
    </row>
    <row r="38" spans="1:22">
      <c r="A38" s="3" t="s">
        <v>57</v>
      </c>
      <c r="B38" s="4">
        <v>45216</v>
      </c>
      <c r="C38" s="4">
        <v>45221</v>
      </c>
      <c r="D38" s="3"/>
      <c r="E38" s="3" t="s">
        <v>123</v>
      </c>
      <c r="F38" s="3" t="s">
        <v>178</v>
      </c>
      <c r="G38" s="3" t="s">
        <v>186</v>
      </c>
      <c r="H38" s="3">
        <v>41</v>
      </c>
      <c r="I38" s="3">
        <v>4</v>
      </c>
      <c r="J38" s="3">
        <v>164</v>
      </c>
      <c r="K38" s="3" t="s">
        <v>191</v>
      </c>
      <c r="L38" s="3" t="s">
        <v>196</v>
      </c>
      <c r="M38" s="3" t="s">
        <v>201</v>
      </c>
      <c r="N38" s="3">
        <v>164</v>
      </c>
      <c r="O38" s="3" t="s">
        <v>203</v>
      </c>
      <c r="P38" s="3">
        <v>0</v>
      </c>
      <c r="Q38" s="3">
        <v>5</v>
      </c>
      <c r="R38" s="3" t="s">
        <v>206</v>
      </c>
      <c r="S38" s="3">
        <v>164</v>
      </c>
      <c r="T38" s="3" t="s">
        <v>222</v>
      </c>
      <c r="U38" s="3" t="s">
        <v>230</v>
      </c>
      <c r="V38" s="3" t="str">
        <f>IFERROR(_xlfn.XLOOKUP(SalesTbl[[#This Row],[Customer ID]], CustomerTbl[Customer ID], CustomerTbl[Customer Name]), "Not Found")</f>
        <v>Grace Ward</v>
      </c>
    </row>
    <row r="39" spans="1:22">
      <c r="A39" s="3" t="s">
        <v>58</v>
      </c>
      <c r="B39" s="4">
        <v>45160</v>
      </c>
      <c r="C39" s="3"/>
      <c r="D39" s="4">
        <v>45162</v>
      </c>
      <c r="E39" s="3" t="s">
        <v>138</v>
      </c>
      <c r="F39" s="3" t="s">
        <v>183</v>
      </c>
      <c r="G39" s="3" t="s">
        <v>185</v>
      </c>
      <c r="H39" s="3">
        <v>32</v>
      </c>
      <c r="I39" s="3">
        <v>2</v>
      </c>
      <c r="J39" s="3">
        <v>64</v>
      </c>
      <c r="K39" s="3" t="s">
        <v>194</v>
      </c>
      <c r="L39" s="3" t="s">
        <v>195</v>
      </c>
      <c r="M39" s="3" t="s">
        <v>202</v>
      </c>
      <c r="N39" s="3">
        <v>64</v>
      </c>
      <c r="O39" s="3" t="s">
        <v>203</v>
      </c>
      <c r="P39" s="3">
        <v>1</v>
      </c>
      <c r="Q39" s="3"/>
      <c r="R39" s="3" t="s">
        <v>204</v>
      </c>
      <c r="S39" s="3">
        <v>0</v>
      </c>
      <c r="T39" s="3" t="s">
        <v>227</v>
      </c>
      <c r="U39" s="3" t="s">
        <v>230</v>
      </c>
      <c r="V39" s="3" t="str">
        <f>IFERROR(_xlfn.XLOOKUP(SalesTbl[[#This Row],[Customer ID]], CustomerTbl[Customer ID], CustomerTbl[Customer Name]), "Not Found")</f>
        <v>Lily Bennett</v>
      </c>
    </row>
    <row r="40" spans="1:22">
      <c r="A40" s="3" t="s">
        <v>59</v>
      </c>
      <c r="B40" s="4">
        <v>45262</v>
      </c>
      <c r="C40" s="3"/>
      <c r="D40" s="3"/>
      <c r="E40" s="3" t="s">
        <v>146</v>
      </c>
      <c r="F40" s="3" t="s">
        <v>179</v>
      </c>
      <c r="G40" s="3" t="s">
        <v>186</v>
      </c>
      <c r="H40" s="3">
        <v>66</v>
      </c>
      <c r="I40" s="3">
        <v>2</v>
      </c>
      <c r="J40" s="3">
        <v>132</v>
      </c>
      <c r="K40" s="3" t="s">
        <v>190</v>
      </c>
      <c r="L40" s="3" t="s">
        <v>197</v>
      </c>
      <c r="M40" s="3" t="s">
        <v>198</v>
      </c>
      <c r="N40" s="3">
        <v>132</v>
      </c>
      <c r="O40" s="3" t="s">
        <v>203</v>
      </c>
      <c r="P40" s="3">
        <v>0</v>
      </c>
      <c r="Q40" s="3"/>
      <c r="R40" s="3" t="s">
        <v>204</v>
      </c>
      <c r="S40" s="3">
        <v>0</v>
      </c>
      <c r="T40" s="3" t="s">
        <v>223</v>
      </c>
      <c r="U40" s="3" t="s">
        <v>231</v>
      </c>
      <c r="V40" s="3" t="str">
        <f>IFERROR(_xlfn.XLOOKUP(SalesTbl[[#This Row],[Customer ID]], CustomerTbl[Customer ID], CustomerTbl[Customer Name]), "Not Found")</f>
        <v>Scarlett Murphy</v>
      </c>
    </row>
    <row r="41" spans="1:22">
      <c r="A41" s="3" t="s">
        <v>60</v>
      </c>
      <c r="B41" s="4">
        <v>45285</v>
      </c>
      <c r="C41" s="3"/>
      <c r="D41" s="3"/>
      <c r="E41" s="3" t="s">
        <v>147</v>
      </c>
      <c r="F41" s="3" t="s">
        <v>184</v>
      </c>
      <c r="G41" s="3" t="s">
        <v>186</v>
      </c>
      <c r="H41" s="3">
        <v>62</v>
      </c>
      <c r="I41" s="3">
        <v>4</v>
      </c>
      <c r="J41" s="3">
        <v>248</v>
      </c>
      <c r="K41" s="3" t="s">
        <v>194</v>
      </c>
      <c r="L41" s="3" t="s">
        <v>197</v>
      </c>
      <c r="M41" s="3" t="s">
        <v>200</v>
      </c>
      <c r="N41" s="3">
        <v>248</v>
      </c>
      <c r="O41" s="3" t="s">
        <v>203</v>
      </c>
      <c r="P41" s="3">
        <v>0</v>
      </c>
      <c r="Q41" s="3"/>
      <c r="R41" s="3" t="s">
        <v>204</v>
      </c>
      <c r="S41" s="3">
        <v>0</v>
      </c>
      <c r="T41" s="3" t="s">
        <v>228</v>
      </c>
      <c r="U41" s="3" t="s">
        <v>230</v>
      </c>
      <c r="V41" s="3" t="str">
        <f>IFERROR(_xlfn.XLOOKUP(SalesTbl[[#This Row],[Customer ID]], CustomerTbl[Customer ID], CustomerTbl[Customer Name]), "Not Found")</f>
        <v>Ava Robinson</v>
      </c>
    </row>
    <row r="42" spans="1:22">
      <c r="A42" s="3" t="s">
        <v>61</v>
      </c>
      <c r="B42" s="4">
        <v>45192</v>
      </c>
      <c r="C42" s="4">
        <v>45199</v>
      </c>
      <c r="D42" s="3"/>
      <c r="E42" s="3" t="s">
        <v>148</v>
      </c>
      <c r="F42" s="3" t="s">
        <v>181</v>
      </c>
      <c r="G42" s="3" t="s">
        <v>189</v>
      </c>
      <c r="H42" s="3">
        <v>173</v>
      </c>
      <c r="I42" s="3">
        <v>4</v>
      </c>
      <c r="J42" s="3">
        <v>692</v>
      </c>
      <c r="K42" s="3" t="s">
        <v>190</v>
      </c>
      <c r="L42" s="3" t="s">
        <v>196</v>
      </c>
      <c r="M42" s="3" t="s">
        <v>200</v>
      </c>
      <c r="N42" s="3">
        <v>692</v>
      </c>
      <c r="O42" s="3" t="s">
        <v>203</v>
      </c>
      <c r="P42" s="3">
        <v>0</v>
      </c>
      <c r="Q42" s="3">
        <v>7</v>
      </c>
      <c r="R42" s="3" t="s">
        <v>206</v>
      </c>
      <c r="S42" s="3">
        <v>692</v>
      </c>
      <c r="T42" s="3" t="s">
        <v>225</v>
      </c>
      <c r="U42" s="3" t="s">
        <v>232</v>
      </c>
      <c r="V42" s="3" t="str">
        <f>IFERROR(_xlfn.XLOOKUP(SalesTbl[[#This Row],[Customer ID]], CustomerTbl[Customer ID], CustomerTbl[Customer Name]), "Not Found")</f>
        <v>James Miller</v>
      </c>
    </row>
    <row r="43" spans="1:22">
      <c r="A43" s="3" t="s">
        <v>62</v>
      </c>
      <c r="B43" s="4">
        <v>45123</v>
      </c>
      <c r="C43" s="4">
        <v>45125</v>
      </c>
      <c r="D43" s="3"/>
      <c r="E43" s="3" t="s">
        <v>141</v>
      </c>
      <c r="F43" s="3" t="s">
        <v>184</v>
      </c>
      <c r="G43" s="3" t="s">
        <v>189</v>
      </c>
      <c r="H43" s="3">
        <v>63</v>
      </c>
      <c r="I43" s="3">
        <v>3</v>
      </c>
      <c r="J43" s="3">
        <v>189</v>
      </c>
      <c r="K43" s="3" t="s">
        <v>190</v>
      </c>
      <c r="L43" s="3" t="s">
        <v>196</v>
      </c>
      <c r="M43" s="3" t="s">
        <v>200</v>
      </c>
      <c r="N43" s="3">
        <v>189</v>
      </c>
      <c r="O43" s="3" t="s">
        <v>203</v>
      </c>
      <c r="P43" s="3">
        <v>0</v>
      </c>
      <c r="Q43" s="3">
        <v>2</v>
      </c>
      <c r="R43" s="3" t="s">
        <v>205</v>
      </c>
      <c r="S43" s="3">
        <v>189</v>
      </c>
      <c r="T43" s="3" t="s">
        <v>228</v>
      </c>
      <c r="U43" s="3" t="s">
        <v>230</v>
      </c>
      <c r="V43" s="3" t="str">
        <f>IFERROR(_xlfn.XLOOKUP(SalesTbl[[#This Row],[Customer ID]], CustomerTbl[Customer ID], CustomerTbl[Customer Name]), "Not Found")</f>
        <v>Liam Walker</v>
      </c>
    </row>
    <row r="44" spans="1:22">
      <c r="A44" s="3" t="s">
        <v>63</v>
      </c>
      <c r="B44" s="4">
        <v>44962</v>
      </c>
      <c r="C44" s="3"/>
      <c r="D44" s="4">
        <v>44968</v>
      </c>
      <c r="E44" s="3" t="s">
        <v>139</v>
      </c>
      <c r="F44" s="3" t="s">
        <v>168</v>
      </c>
      <c r="G44" s="3" t="s">
        <v>189</v>
      </c>
      <c r="H44" s="3">
        <v>36</v>
      </c>
      <c r="I44" s="3">
        <v>3</v>
      </c>
      <c r="J44" s="3">
        <v>108</v>
      </c>
      <c r="K44" s="3" t="s">
        <v>194</v>
      </c>
      <c r="L44" s="3" t="s">
        <v>195</v>
      </c>
      <c r="M44" s="3" t="s">
        <v>199</v>
      </c>
      <c r="N44" s="3">
        <v>108</v>
      </c>
      <c r="O44" s="3" t="s">
        <v>203</v>
      </c>
      <c r="P44" s="3">
        <v>1</v>
      </c>
      <c r="Q44" s="3"/>
      <c r="R44" s="3" t="s">
        <v>204</v>
      </c>
      <c r="S44" s="3">
        <v>0</v>
      </c>
      <c r="T44" s="3" t="s">
        <v>212</v>
      </c>
      <c r="U44" s="3" t="s">
        <v>229</v>
      </c>
      <c r="V44" s="3" t="str">
        <f>IFERROR(_xlfn.XLOOKUP(SalesTbl[[#This Row],[Customer ID]], CustomerTbl[Customer ID], CustomerTbl[Customer Name]), "Not Found")</f>
        <v>Benjamin Clark</v>
      </c>
    </row>
    <row r="45" spans="1:22">
      <c r="A45" s="3" t="s">
        <v>64</v>
      </c>
      <c r="B45" s="4">
        <v>45278</v>
      </c>
      <c r="C45" s="3"/>
      <c r="D45" s="4">
        <v>45283</v>
      </c>
      <c r="E45" s="3" t="s">
        <v>147</v>
      </c>
      <c r="F45" s="3" t="s">
        <v>184</v>
      </c>
      <c r="G45" s="3" t="s">
        <v>188</v>
      </c>
      <c r="H45" s="3">
        <v>62</v>
      </c>
      <c r="I45" s="3">
        <v>1</v>
      </c>
      <c r="J45" s="3">
        <v>62</v>
      </c>
      <c r="K45" s="3" t="s">
        <v>190</v>
      </c>
      <c r="L45" s="3" t="s">
        <v>195</v>
      </c>
      <c r="M45" s="3" t="s">
        <v>201</v>
      </c>
      <c r="N45" s="3">
        <v>62</v>
      </c>
      <c r="O45" s="3" t="s">
        <v>203</v>
      </c>
      <c r="P45" s="3">
        <v>1</v>
      </c>
      <c r="Q45" s="3"/>
      <c r="R45" s="3" t="s">
        <v>204</v>
      </c>
      <c r="S45" s="3">
        <v>0</v>
      </c>
      <c r="T45" s="3" t="s">
        <v>228</v>
      </c>
      <c r="U45" s="3" t="s">
        <v>230</v>
      </c>
      <c r="V45" s="3" t="str">
        <f>IFERROR(_xlfn.XLOOKUP(SalesTbl[[#This Row],[Customer ID]], CustomerTbl[Customer ID], CustomerTbl[Customer Name]), "Not Found")</f>
        <v>Ava Robinson</v>
      </c>
    </row>
    <row r="46" spans="1:22">
      <c r="A46" s="3" t="s">
        <v>65</v>
      </c>
      <c r="B46" s="4">
        <v>45088</v>
      </c>
      <c r="C46" s="3"/>
      <c r="D46" s="4">
        <v>45091</v>
      </c>
      <c r="E46" s="3" t="s">
        <v>126</v>
      </c>
      <c r="F46" s="3" t="s">
        <v>170</v>
      </c>
      <c r="G46" s="3" t="s">
        <v>188</v>
      </c>
      <c r="H46" s="3">
        <v>137</v>
      </c>
      <c r="I46" s="3">
        <v>5</v>
      </c>
      <c r="J46" s="3">
        <v>685</v>
      </c>
      <c r="K46" s="3" t="s">
        <v>193</v>
      </c>
      <c r="L46" s="3" t="s">
        <v>195</v>
      </c>
      <c r="M46" s="3" t="s">
        <v>202</v>
      </c>
      <c r="N46" s="3">
        <v>685</v>
      </c>
      <c r="O46" s="3" t="s">
        <v>203</v>
      </c>
      <c r="P46" s="3">
        <v>1</v>
      </c>
      <c r="Q46" s="3"/>
      <c r="R46" s="3" t="s">
        <v>204</v>
      </c>
      <c r="S46" s="3">
        <v>0</v>
      </c>
      <c r="T46" s="3" t="s">
        <v>214</v>
      </c>
      <c r="U46" s="3" t="s">
        <v>229</v>
      </c>
      <c r="V46" s="3" t="str">
        <f>IFERROR(_xlfn.XLOOKUP(SalesTbl[[#This Row],[Customer ID]], CustomerTbl[Customer ID], CustomerTbl[Customer Name]), "Not Found")</f>
        <v>Noah Wilson</v>
      </c>
    </row>
    <row r="47" spans="1:22">
      <c r="A47" s="3" t="s">
        <v>66</v>
      </c>
      <c r="B47" s="4">
        <v>45264</v>
      </c>
      <c r="C47" s="4">
        <v>45268</v>
      </c>
      <c r="D47" s="3"/>
      <c r="E47" s="3" t="s">
        <v>149</v>
      </c>
      <c r="F47" s="3" t="s">
        <v>173</v>
      </c>
      <c r="G47" s="3" t="s">
        <v>185</v>
      </c>
      <c r="H47" s="3">
        <v>73</v>
      </c>
      <c r="I47" s="3">
        <v>4</v>
      </c>
      <c r="J47" s="3">
        <v>292</v>
      </c>
      <c r="K47" s="3" t="s">
        <v>191</v>
      </c>
      <c r="L47" s="3" t="s">
        <v>196</v>
      </c>
      <c r="M47" s="3" t="s">
        <v>201</v>
      </c>
      <c r="N47" s="3">
        <v>292</v>
      </c>
      <c r="O47" s="3" t="s">
        <v>203</v>
      </c>
      <c r="P47" s="3">
        <v>0</v>
      </c>
      <c r="Q47" s="3">
        <v>4</v>
      </c>
      <c r="R47" s="3" t="s">
        <v>206</v>
      </c>
      <c r="S47" s="3">
        <v>292</v>
      </c>
      <c r="T47" s="3" t="s">
        <v>217</v>
      </c>
      <c r="U47" s="3" t="s">
        <v>232</v>
      </c>
      <c r="V47" s="3" t="str">
        <f>IFERROR(_xlfn.XLOOKUP(SalesTbl[[#This Row],[Customer ID]], CustomerTbl[Customer ID], CustomerTbl[Customer Name]), "Not Found")</f>
        <v>Logan Ramirez</v>
      </c>
    </row>
    <row r="48" spans="1:22">
      <c r="A48" s="3" t="s">
        <v>67</v>
      </c>
      <c r="B48" s="4">
        <v>45124</v>
      </c>
      <c r="C48" s="4">
        <v>45126</v>
      </c>
      <c r="D48" s="3"/>
      <c r="E48" s="3" t="s">
        <v>135</v>
      </c>
      <c r="F48" s="3" t="s">
        <v>167</v>
      </c>
      <c r="G48" s="3" t="s">
        <v>185</v>
      </c>
      <c r="H48" s="3">
        <v>104</v>
      </c>
      <c r="I48" s="3">
        <v>1</v>
      </c>
      <c r="J48" s="3">
        <v>104</v>
      </c>
      <c r="K48" s="3" t="s">
        <v>192</v>
      </c>
      <c r="L48" s="3" t="s">
        <v>196</v>
      </c>
      <c r="M48" s="3" t="s">
        <v>201</v>
      </c>
      <c r="N48" s="3">
        <v>104</v>
      </c>
      <c r="O48" s="3" t="s">
        <v>203</v>
      </c>
      <c r="P48" s="3">
        <v>0</v>
      </c>
      <c r="Q48" s="3">
        <v>2</v>
      </c>
      <c r="R48" s="3" t="s">
        <v>205</v>
      </c>
      <c r="S48" s="3">
        <v>104</v>
      </c>
      <c r="T48" s="3" t="s">
        <v>211</v>
      </c>
      <c r="U48" s="3" t="s">
        <v>232</v>
      </c>
      <c r="V48" s="3" t="str">
        <f>IFERROR(_xlfn.XLOOKUP(SalesTbl[[#This Row],[Customer ID]], CustomerTbl[Customer ID], CustomerTbl[Customer Name]), "Not Found")</f>
        <v>Jacob Price</v>
      </c>
    </row>
    <row r="49" spans="1:22">
      <c r="A49" s="3" t="s">
        <v>68</v>
      </c>
      <c r="B49" s="4">
        <v>45218</v>
      </c>
      <c r="C49" s="4">
        <v>45223</v>
      </c>
      <c r="D49" s="3"/>
      <c r="E49" s="3" t="s">
        <v>123</v>
      </c>
      <c r="F49" s="3" t="s">
        <v>172</v>
      </c>
      <c r="G49" s="3" t="s">
        <v>186</v>
      </c>
      <c r="H49" s="3">
        <v>97</v>
      </c>
      <c r="I49" s="3">
        <v>1</v>
      </c>
      <c r="J49" s="3">
        <v>97</v>
      </c>
      <c r="K49" s="3" t="s">
        <v>193</v>
      </c>
      <c r="L49" s="3" t="s">
        <v>196</v>
      </c>
      <c r="M49" s="3" t="s">
        <v>202</v>
      </c>
      <c r="N49" s="3">
        <v>97</v>
      </c>
      <c r="O49" s="3" t="s">
        <v>203</v>
      </c>
      <c r="P49" s="3">
        <v>0</v>
      </c>
      <c r="Q49" s="3">
        <v>5</v>
      </c>
      <c r="R49" s="3" t="s">
        <v>206</v>
      </c>
      <c r="S49" s="3">
        <v>97</v>
      </c>
      <c r="T49" s="3" t="s">
        <v>216</v>
      </c>
      <c r="U49" s="3" t="s">
        <v>231</v>
      </c>
      <c r="V49" s="3" t="str">
        <f>IFERROR(_xlfn.XLOOKUP(SalesTbl[[#This Row],[Customer ID]], CustomerTbl[Customer ID], CustomerTbl[Customer Name]), "Not Found")</f>
        <v>Grace Ward</v>
      </c>
    </row>
    <row r="50" spans="1:22">
      <c r="A50" s="3" t="s">
        <v>69</v>
      </c>
      <c r="B50" s="4">
        <v>45061</v>
      </c>
      <c r="C50" s="3"/>
      <c r="D50" s="3"/>
      <c r="E50" s="3" t="s">
        <v>150</v>
      </c>
      <c r="F50" s="3" t="s">
        <v>173</v>
      </c>
      <c r="G50" s="3" t="s">
        <v>187</v>
      </c>
      <c r="H50" s="3">
        <v>73</v>
      </c>
      <c r="I50" s="3">
        <v>5</v>
      </c>
      <c r="J50" s="3">
        <v>365</v>
      </c>
      <c r="K50" s="3" t="s">
        <v>190</v>
      </c>
      <c r="L50" s="3" t="s">
        <v>197</v>
      </c>
      <c r="M50" s="3" t="s">
        <v>201</v>
      </c>
      <c r="N50" s="3">
        <v>365</v>
      </c>
      <c r="O50" s="3" t="s">
        <v>203</v>
      </c>
      <c r="P50" s="3">
        <v>0</v>
      </c>
      <c r="Q50" s="3"/>
      <c r="R50" s="3" t="s">
        <v>204</v>
      </c>
      <c r="S50" s="3">
        <v>0</v>
      </c>
      <c r="T50" s="3" t="s">
        <v>217</v>
      </c>
      <c r="U50" s="3" t="s">
        <v>232</v>
      </c>
      <c r="V50" s="3" t="str">
        <f>IFERROR(_xlfn.XLOOKUP(SalesTbl[[#This Row],[Customer ID]], CustomerTbl[Customer ID], CustomerTbl[Customer Name]), "Not Found")</f>
        <v>Zoe Mitchell</v>
      </c>
    </row>
    <row r="51" spans="1:22">
      <c r="A51" s="3" t="s">
        <v>70</v>
      </c>
      <c r="B51" s="4">
        <v>44969</v>
      </c>
      <c r="C51" s="4">
        <v>44976</v>
      </c>
      <c r="D51" s="3"/>
      <c r="E51" s="3" t="s">
        <v>139</v>
      </c>
      <c r="F51" s="3" t="s">
        <v>174</v>
      </c>
      <c r="G51" s="3" t="s">
        <v>186</v>
      </c>
      <c r="H51" s="3">
        <v>27</v>
      </c>
      <c r="I51" s="3">
        <v>3</v>
      </c>
      <c r="J51" s="3">
        <v>81</v>
      </c>
      <c r="K51" s="3" t="s">
        <v>193</v>
      </c>
      <c r="L51" s="3" t="s">
        <v>196</v>
      </c>
      <c r="M51" s="3" t="s">
        <v>200</v>
      </c>
      <c r="N51" s="3">
        <v>81</v>
      </c>
      <c r="O51" s="3" t="s">
        <v>203</v>
      </c>
      <c r="P51" s="3">
        <v>0</v>
      </c>
      <c r="Q51" s="3">
        <v>7</v>
      </c>
      <c r="R51" s="3" t="s">
        <v>206</v>
      </c>
      <c r="S51" s="3">
        <v>81</v>
      </c>
      <c r="T51" s="3" t="s">
        <v>218</v>
      </c>
      <c r="U51" s="3" t="s">
        <v>231</v>
      </c>
      <c r="V51" s="3" t="str">
        <f>IFERROR(_xlfn.XLOOKUP(SalesTbl[[#This Row],[Customer ID]], CustomerTbl[Customer ID], CustomerTbl[Customer Name]), "Not Found")</f>
        <v>Benjamin Clark</v>
      </c>
    </row>
    <row r="52" spans="1:22">
      <c r="A52" s="3" t="s">
        <v>71</v>
      </c>
      <c r="B52" s="4">
        <v>45201</v>
      </c>
      <c r="C52" s="3"/>
      <c r="D52" s="3"/>
      <c r="E52" s="3" t="s">
        <v>135</v>
      </c>
      <c r="F52" s="3" t="s">
        <v>168</v>
      </c>
      <c r="G52" s="3" t="s">
        <v>185</v>
      </c>
      <c r="H52" s="3">
        <v>37</v>
      </c>
      <c r="I52" s="3">
        <v>1</v>
      </c>
      <c r="J52" s="3">
        <v>37</v>
      </c>
      <c r="K52" s="3" t="s">
        <v>190</v>
      </c>
      <c r="L52" s="3" t="s">
        <v>197</v>
      </c>
      <c r="M52" s="3" t="s">
        <v>200</v>
      </c>
      <c r="N52" s="3">
        <v>37</v>
      </c>
      <c r="O52" s="3" t="s">
        <v>203</v>
      </c>
      <c r="P52" s="3">
        <v>0</v>
      </c>
      <c r="Q52" s="3"/>
      <c r="R52" s="3" t="s">
        <v>204</v>
      </c>
      <c r="S52" s="3">
        <v>0</v>
      </c>
      <c r="T52" s="3" t="s">
        <v>212</v>
      </c>
      <c r="U52" s="3" t="s">
        <v>229</v>
      </c>
      <c r="V52" s="3" t="str">
        <f>IFERROR(_xlfn.XLOOKUP(SalesTbl[[#This Row],[Customer ID]], CustomerTbl[Customer ID], CustomerTbl[Customer Name]), "Not Found")</f>
        <v>Jacob Price</v>
      </c>
    </row>
    <row r="53" spans="1:22">
      <c r="A53" s="3" t="s">
        <v>72</v>
      </c>
      <c r="B53" s="4">
        <v>44956</v>
      </c>
      <c r="C53" s="4">
        <v>44958</v>
      </c>
      <c r="D53" s="3"/>
      <c r="E53" s="3" t="s">
        <v>142</v>
      </c>
      <c r="F53" s="3" t="s">
        <v>175</v>
      </c>
      <c r="G53" s="3" t="s">
        <v>185</v>
      </c>
      <c r="H53" s="3">
        <v>22</v>
      </c>
      <c r="I53" s="3">
        <v>1</v>
      </c>
      <c r="J53" s="3">
        <v>22</v>
      </c>
      <c r="K53" s="3" t="s">
        <v>194</v>
      </c>
      <c r="L53" s="3" t="s">
        <v>196</v>
      </c>
      <c r="M53" s="3" t="s">
        <v>202</v>
      </c>
      <c r="N53" s="3">
        <v>22</v>
      </c>
      <c r="O53" s="3" t="s">
        <v>203</v>
      </c>
      <c r="P53" s="3">
        <v>0</v>
      </c>
      <c r="Q53" s="3">
        <v>2</v>
      </c>
      <c r="R53" s="3" t="s">
        <v>205</v>
      </c>
      <c r="S53" s="3">
        <v>22</v>
      </c>
      <c r="T53" s="3" t="s">
        <v>219</v>
      </c>
      <c r="U53" s="3" t="s">
        <v>233</v>
      </c>
      <c r="V53" s="3" t="str">
        <f>IFERROR(_xlfn.XLOOKUP(SalesTbl[[#This Row],[Customer ID]], CustomerTbl[Customer ID], CustomerTbl[Customer Name]), "Not Found")</f>
        <v>Harper Young</v>
      </c>
    </row>
    <row r="54" spans="1:22">
      <c r="A54" s="3" t="s">
        <v>73</v>
      </c>
      <c r="B54" s="4">
        <v>45289</v>
      </c>
      <c r="C54" s="4">
        <v>45292</v>
      </c>
      <c r="D54" s="3"/>
      <c r="E54" s="3" t="s">
        <v>134</v>
      </c>
      <c r="F54" s="3" t="s">
        <v>182</v>
      </c>
      <c r="G54" s="3" t="s">
        <v>188</v>
      </c>
      <c r="H54" s="3">
        <v>218</v>
      </c>
      <c r="I54" s="3">
        <v>5</v>
      </c>
      <c r="J54" s="3">
        <v>1090</v>
      </c>
      <c r="K54" s="3" t="s">
        <v>192</v>
      </c>
      <c r="L54" s="3" t="s">
        <v>196</v>
      </c>
      <c r="M54" s="3" t="s">
        <v>198</v>
      </c>
      <c r="N54" s="3">
        <v>1090</v>
      </c>
      <c r="O54" s="3" t="s">
        <v>203</v>
      </c>
      <c r="P54" s="3">
        <v>0</v>
      </c>
      <c r="Q54" s="3">
        <v>3</v>
      </c>
      <c r="R54" s="3" t="s">
        <v>206</v>
      </c>
      <c r="S54" s="3">
        <v>1090</v>
      </c>
      <c r="T54" s="3" t="s">
        <v>226</v>
      </c>
      <c r="U54" s="3" t="s">
        <v>229</v>
      </c>
      <c r="V54" s="3" t="str">
        <f>IFERROR(_xlfn.XLOOKUP(SalesTbl[[#This Row],[Customer ID]], CustomerTbl[Customer ID], CustomerTbl[Customer Name]), "Not Found")</f>
        <v>Mason Hall</v>
      </c>
    </row>
    <row r="55" spans="1:22">
      <c r="A55" s="3" t="s">
        <v>74</v>
      </c>
      <c r="B55" s="4">
        <v>44991</v>
      </c>
      <c r="C55" s="3"/>
      <c r="D55" s="4">
        <v>44998</v>
      </c>
      <c r="E55" s="3" t="s">
        <v>140</v>
      </c>
      <c r="F55" s="3" t="s">
        <v>184</v>
      </c>
      <c r="G55" s="3" t="s">
        <v>185</v>
      </c>
      <c r="H55" s="3">
        <v>64</v>
      </c>
      <c r="I55" s="3">
        <v>1</v>
      </c>
      <c r="J55" s="3">
        <v>64</v>
      </c>
      <c r="K55" s="3" t="s">
        <v>190</v>
      </c>
      <c r="L55" s="3" t="s">
        <v>195</v>
      </c>
      <c r="M55" s="3" t="s">
        <v>199</v>
      </c>
      <c r="N55" s="3">
        <v>64</v>
      </c>
      <c r="O55" s="3" t="s">
        <v>203</v>
      </c>
      <c r="P55" s="3">
        <v>1</v>
      </c>
      <c r="Q55" s="3"/>
      <c r="R55" s="3" t="s">
        <v>204</v>
      </c>
      <c r="S55" s="3">
        <v>0</v>
      </c>
      <c r="T55" s="3" t="s">
        <v>228</v>
      </c>
      <c r="U55" s="3" t="s">
        <v>230</v>
      </c>
      <c r="V55" s="3" t="str">
        <f>IFERROR(_xlfn.XLOOKUP(SalesTbl[[#This Row],[Customer ID]], CustomerTbl[Customer ID], CustomerTbl[Customer Name]), "Not Found")</f>
        <v>Grace Scott</v>
      </c>
    </row>
    <row r="56" spans="1:22">
      <c r="A56" s="3" t="s">
        <v>75</v>
      </c>
      <c r="B56" s="4">
        <v>44959</v>
      </c>
      <c r="C56" s="4">
        <v>44963</v>
      </c>
      <c r="D56" s="3"/>
      <c r="E56" s="3" t="s">
        <v>144</v>
      </c>
      <c r="F56" s="3" t="s">
        <v>168</v>
      </c>
      <c r="G56" s="3" t="s">
        <v>188</v>
      </c>
      <c r="H56" s="3">
        <v>36</v>
      </c>
      <c r="I56" s="3">
        <v>4</v>
      </c>
      <c r="J56" s="3">
        <v>144</v>
      </c>
      <c r="K56" s="3" t="s">
        <v>192</v>
      </c>
      <c r="L56" s="3" t="s">
        <v>196</v>
      </c>
      <c r="M56" s="3" t="s">
        <v>201</v>
      </c>
      <c r="N56" s="3">
        <v>144</v>
      </c>
      <c r="O56" s="3" t="s">
        <v>203</v>
      </c>
      <c r="P56" s="3">
        <v>0</v>
      </c>
      <c r="Q56" s="3">
        <v>4</v>
      </c>
      <c r="R56" s="3" t="s">
        <v>206</v>
      </c>
      <c r="S56" s="3">
        <v>144</v>
      </c>
      <c r="T56" s="3" t="s">
        <v>212</v>
      </c>
      <c r="U56" s="3" t="s">
        <v>229</v>
      </c>
      <c r="V56" s="3" t="str">
        <f>IFERROR(_xlfn.XLOOKUP(SalesTbl[[#This Row],[Customer ID]], CustomerTbl[Customer ID], CustomerTbl[Customer Name]), "Not Found")</f>
        <v>Emily Johnson</v>
      </c>
    </row>
    <row r="57" spans="1:22">
      <c r="A57" s="3" t="s">
        <v>76</v>
      </c>
      <c r="B57" s="4">
        <v>45217</v>
      </c>
      <c r="C57" s="4">
        <v>45220</v>
      </c>
      <c r="D57" s="3"/>
      <c r="E57" s="3" t="s">
        <v>151</v>
      </c>
      <c r="F57" s="3" t="s">
        <v>184</v>
      </c>
      <c r="G57" s="3" t="s">
        <v>189</v>
      </c>
      <c r="H57" s="3">
        <v>65</v>
      </c>
      <c r="I57" s="3">
        <v>1</v>
      </c>
      <c r="J57" s="3">
        <v>65</v>
      </c>
      <c r="K57" s="3" t="s">
        <v>193</v>
      </c>
      <c r="L57" s="3" t="s">
        <v>196</v>
      </c>
      <c r="M57" s="3" t="s">
        <v>202</v>
      </c>
      <c r="N57" s="3">
        <v>65</v>
      </c>
      <c r="O57" s="3" t="s">
        <v>203</v>
      </c>
      <c r="P57" s="3">
        <v>0</v>
      </c>
      <c r="Q57" s="3">
        <v>3</v>
      </c>
      <c r="R57" s="3" t="s">
        <v>206</v>
      </c>
      <c r="S57" s="3">
        <v>65</v>
      </c>
      <c r="T57" s="3" t="s">
        <v>228</v>
      </c>
      <c r="U57" s="3" t="s">
        <v>230</v>
      </c>
      <c r="V57" s="3" t="str">
        <f>IFERROR(_xlfn.XLOOKUP(SalesTbl[[#This Row],[Customer ID]], CustomerTbl[Customer ID], CustomerTbl[Customer Name]), "Not Found")</f>
        <v>Emma King</v>
      </c>
    </row>
    <row r="58" spans="1:22">
      <c r="A58" s="3" t="s">
        <v>77</v>
      </c>
      <c r="B58" s="4">
        <v>44933</v>
      </c>
      <c r="C58" s="4">
        <v>44935</v>
      </c>
      <c r="D58" s="3"/>
      <c r="E58" s="3" t="s">
        <v>136</v>
      </c>
      <c r="F58" s="3" t="s">
        <v>174</v>
      </c>
      <c r="G58" s="3" t="s">
        <v>188</v>
      </c>
      <c r="H58" s="3">
        <v>26</v>
      </c>
      <c r="I58" s="3">
        <v>1</v>
      </c>
      <c r="J58" s="3">
        <v>26</v>
      </c>
      <c r="K58" s="3" t="s">
        <v>190</v>
      </c>
      <c r="L58" s="3" t="s">
        <v>196</v>
      </c>
      <c r="M58" s="3" t="s">
        <v>198</v>
      </c>
      <c r="N58" s="3">
        <v>26</v>
      </c>
      <c r="O58" s="3" t="s">
        <v>203</v>
      </c>
      <c r="P58" s="3">
        <v>0</v>
      </c>
      <c r="Q58" s="3">
        <v>2</v>
      </c>
      <c r="R58" s="3" t="s">
        <v>205</v>
      </c>
      <c r="S58" s="3">
        <v>26</v>
      </c>
      <c r="T58" s="3" t="s">
        <v>218</v>
      </c>
      <c r="U58" s="3" t="s">
        <v>231</v>
      </c>
      <c r="V58" s="3" t="str">
        <f>IFERROR(_xlfn.XLOOKUP(SalesTbl[[#This Row],[Customer ID]], CustomerTbl[Customer ID], CustomerTbl[Customer Name]), "Not Found")</f>
        <v>Emma King</v>
      </c>
    </row>
    <row r="59" spans="1:22">
      <c r="A59" s="3" t="s">
        <v>78</v>
      </c>
      <c r="B59" s="4">
        <v>45054</v>
      </c>
      <c r="C59" s="3"/>
      <c r="D59" s="3"/>
      <c r="E59" s="3" t="s">
        <v>121</v>
      </c>
      <c r="F59" s="3" t="s">
        <v>180</v>
      </c>
      <c r="G59" s="3" t="s">
        <v>185</v>
      </c>
      <c r="H59" s="3">
        <v>11</v>
      </c>
      <c r="I59" s="3">
        <v>5</v>
      </c>
      <c r="J59" s="3">
        <v>55</v>
      </c>
      <c r="K59" s="3" t="s">
        <v>191</v>
      </c>
      <c r="L59" s="3" t="s">
        <v>197</v>
      </c>
      <c r="M59" s="3" t="s">
        <v>202</v>
      </c>
      <c r="N59" s="3">
        <v>55</v>
      </c>
      <c r="O59" s="3" t="s">
        <v>203</v>
      </c>
      <c r="P59" s="3">
        <v>0</v>
      </c>
      <c r="Q59" s="3"/>
      <c r="R59" s="3" t="s">
        <v>204</v>
      </c>
      <c r="S59" s="3">
        <v>0</v>
      </c>
      <c r="T59" s="3" t="s">
        <v>224</v>
      </c>
      <c r="U59" s="3" t="s">
        <v>233</v>
      </c>
      <c r="V59" s="3" t="str">
        <f>IFERROR(_xlfn.XLOOKUP(SalesTbl[[#This Row],[Customer ID]], CustomerTbl[Customer ID], CustomerTbl[Customer Name]), "Not Found")</f>
        <v>Zoe Mitchell</v>
      </c>
    </row>
    <row r="60" spans="1:22">
      <c r="A60" s="3" t="s">
        <v>79</v>
      </c>
      <c r="B60" s="4">
        <v>45018</v>
      </c>
      <c r="C60" s="3"/>
      <c r="D60" s="4">
        <v>45021</v>
      </c>
      <c r="E60" s="3" t="s">
        <v>152</v>
      </c>
      <c r="F60" s="3" t="s">
        <v>165</v>
      </c>
      <c r="G60" s="3" t="s">
        <v>185</v>
      </c>
      <c r="H60" s="3">
        <v>195</v>
      </c>
      <c r="I60" s="3">
        <v>4</v>
      </c>
      <c r="J60" s="3">
        <v>780</v>
      </c>
      <c r="K60" s="3" t="s">
        <v>192</v>
      </c>
      <c r="L60" s="3" t="s">
        <v>195</v>
      </c>
      <c r="M60" s="3" t="s">
        <v>202</v>
      </c>
      <c r="N60" s="3">
        <v>780</v>
      </c>
      <c r="O60" s="3" t="s">
        <v>203</v>
      </c>
      <c r="P60" s="3">
        <v>1</v>
      </c>
      <c r="Q60" s="3"/>
      <c r="R60" s="3" t="s">
        <v>204</v>
      </c>
      <c r="S60" s="3">
        <v>0</v>
      </c>
      <c r="T60" s="3" t="s">
        <v>209</v>
      </c>
      <c r="U60" s="3" t="s">
        <v>229</v>
      </c>
      <c r="V60" s="3" t="str">
        <f>IFERROR(_xlfn.XLOOKUP(SalesTbl[[#This Row],[Customer ID]], CustomerTbl[Customer ID], CustomerTbl[Customer Name]), "Not Found")</f>
        <v>Ethan Davis</v>
      </c>
    </row>
    <row r="61" spans="1:22">
      <c r="A61" s="3" t="s">
        <v>80</v>
      </c>
      <c r="B61" s="4">
        <v>45210</v>
      </c>
      <c r="C61" s="3"/>
      <c r="D61" s="4">
        <v>45211</v>
      </c>
      <c r="E61" s="3" t="s">
        <v>127</v>
      </c>
      <c r="F61" s="3" t="s">
        <v>169</v>
      </c>
      <c r="G61" s="3" t="s">
        <v>189</v>
      </c>
      <c r="H61" s="3">
        <v>44</v>
      </c>
      <c r="I61" s="3">
        <v>5</v>
      </c>
      <c r="J61" s="3">
        <v>220</v>
      </c>
      <c r="K61" s="3" t="s">
        <v>190</v>
      </c>
      <c r="L61" s="3" t="s">
        <v>195</v>
      </c>
      <c r="M61" s="3" t="s">
        <v>199</v>
      </c>
      <c r="N61" s="3">
        <v>220</v>
      </c>
      <c r="O61" s="3" t="s">
        <v>203</v>
      </c>
      <c r="P61" s="3">
        <v>1</v>
      </c>
      <c r="Q61" s="3"/>
      <c r="R61" s="3" t="s">
        <v>204</v>
      </c>
      <c r="S61" s="3">
        <v>0</v>
      </c>
      <c r="T61" s="3" t="s">
        <v>213</v>
      </c>
      <c r="U61" s="3" t="s">
        <v>231</v>
      </c>
      <c r="V61" s="3" t="str">
        <f>IFERROR(_xlfn.XLOOKUP(SalesTbl[[#This Row],[Customer ID]], CustomerTbl[Customer ID], CustomerTbl[Customer Name]), "Not Found")</f>
        <v>Ava Robinson</v>
      </c>
    </row>
    <row r="62" spans="1:22">
      <c r="A62" s="3" t="s">
        <v>81</v>
      </c>
      <c r="B62" s="4">
        <v>45179</v>
      </c>
      <c r="C62" s="3"/>
      <c r="D62" s="3"/>
      <c r="E62" s="3" t="s">
        <v>153</v>
      </c>
      <c r="F62" s="3" t="s">
        <v>176</v>
      </c>
      <c r="G62" s="3" t="s">
        <v>186</v>
      </c>
      <c r="H62" s="3">
        <v>69</v>
      </c>
      <c r="I62" s="3">
        <v>4</v>
      </c>
      <c r="J62" s="3">
        <v>276</v>
      </c>
      <c r="K62" s="3" t="s">
        <v>194</v>
      </c>
      <c r="L62" s="3" t="s">
        <v>197</v>
      </c>
      <c r="M62" s="3" t="s">
        <v>198</v>
      </c>
      <c r="N62" s="3">
        <v>276</v>
      </c>
      <c r="O62" s="3" t="s">
        <v>203</v>
      </c>
      <c r="P62" s="3">
        <v>0</v>
      </c>
      <c r="Q62" s="3"/>
      <c r="R62" s="3" t="s">
        <v>204</v>
      </c>
      <c r="S62" s="3">
        <v>0</v>
      </c>
      <c r="T62" s="3" t="s">
        <v>220</v>
      </c>
      <c r="U62" s="3" t="s">
        <v>233</v>
      </c>
      <c r="V62" s="3" t="str">
        <f>IFERROR(_xlfn.XLOOKUP(SalesTbl[[#This Row],[Customer ID]], CustomerTbl[Customer ID], CustomerTbl[Customer Name]), "Not Found")</f>
        <v>Scarlett Adams</v>
      </c>
    </row>
    <row r="63" spans="1:22">
      <c r="A63" s="3" t="s">
        <v>82</v>
      </c>
      <c r="B63" s="4">
        <v>45252</v>
      </c>
      <c r="C63" s="4">
        <v>45259</v>
      </c>
      <c r="D63" s="3"/>
      <c r="E63" s="3" t="s">
        <v>154</v>
      </c>
      <c r="F63" s="3" t="s">
        <v>177</v>
      </c>
      <c r="G63" s="3" t="s">
        <v>185</v>
      </c>
      <c r="H63" s="3">
        <v>815</v>
      </c>
      <c r="I63" s="3">
        <v>4</v>
      </c>
      <c r="J63" s="3">
        <v>3260</v>
      </c>
      <c r="K63" s="3" t="s">
        <v>191</v>
      </c>
      <c r="L63" s="3" t="s">
        <v>196</v>
      </c>
      <c r="M63" s="3" t="s">
        <v>199</v>
      </c>
      <c r="N63" s="3">
        <v>3260</v>
      </c>
      <c r="O63" s="3" t="s">
        <v>203</v>
      </c>
      <c r="P63" s="3">
        <v>0</v>
      </c>
      <c r="Q63" s="3">
        <v>7</v>
      </c>
      <c r="R63" s="3" t="s">
        <v>206</v>
      </c>
      <c r="S63" s="3">
        <v>3260</v>
      </c>
      <c r="T63" s="3" t="s">
        <v>221</v>
      </c>
      <c r="U63" s="3" t="s">
        <v>232</v>
      </c>
      <c r="V63" s="3" t="str">
        <f>IFERROR(_xlfn.XLOOKUP(SalesTbl[[#This Row],[Customer ID]], CustomerTbl[Customer ID], CustomerTbl[Customer Name]), "Not Found")</f>
        <v>Elijah Lewis</v>
      </c>
    </row>
    <row r="64" spans="1:22">
      <c r="A64" s="3" t="s">
        <v>83</v>
      </c>
      <c r="B64" s="4">
        <v>45048</v>
      </c>
      <c r="C64" s="3"/>
      <c r="D64" s="3"/>
      <c r="E64" s="3" t="s">
        <v>155</v>
      </c>
      <c r="F64" s="3" t="s">
        <v>174</v>
      </c>
      <c r="G64" s="3" t="s">
        <v>186</v>
      </c>
      <c r="H64" s="3">
        <v>27</v>
      </c>
      <c r="I64" s="3">
        <v>1</v>
      </c>
      <c r="J64" s="3">
        <v>27</v>
      </c>
      <c r="K64" s="3" t="s">
        <v>194</v>
      </c>
      <c r="L64" s="3" t="s">
        <v>197</v>
      </c>
      <c r="M64" s="3" t="s">
        <v>201</v>
      </c>
      <c r="N64" s="3">
        <v>27</v>
      </c>
      <c r="O64" s="3" t="s">
        <v>203</v>
      </c>
      <c r="P64" s="3">
        <v>0</v>
      </c>
      <c r="Q64" s="3"/>
      <c r="R64" s="3" t="s">
        <v>204</v>
      </c>
      <c r="S64" s="3">
        <v>0</v>
      </c>
      <c r="T64" s="3" t="s">
        <v>218</v>
      </c>
      <c r="U64" s="3" t="s">
        <v>231</v>
      </c>
      <c r="V64" s="3" t="str">
        <f>IFERROR(_xlfn.XLOOKUP(SalesTbl[[#This Row],[Customer ID]], CustomerTbl[Customer ID], CustomerTbl[Customer Name]), "Not Found")</f>
        <v>Noah Wilson</v>
      </c>
    </row>
    <row r="65" spans="1:22">
      <c r="A65" s="3" t="s">
        <v>84</v>
      </c>
      <c r="B65" s="4">
        <v>45285</v>
      </c>
      <c r="C65" s="4">
        <v>45289</v>
      </c>
      <c r="D65" s="3"/>
      <c r="E65" s="3" t="s">
        <v>156</v>
      </c>
      <c r="F65" s="3" t="s">
        <v>170</v>
      </c>
      <c r="G65" s="3" t="s">
        <v>189</v>
      </c>
      <c r="H65" s="3">
        <v>139</v>
      </c>
      <c r="I65" s="3">
        <v>5</v>
      </c>
      <c r="J65" s="3">
        <v>695</v>
      </c>
      <c r="K65" s="3" t="s">
        <v>190</v>
      </c>
      <c r="L65" s="3" t="s">
        <v>196</v>
      </c>
      <c r="M65" s="3" t="s">
        <v>199</v>
      </c>
      <c r="N65" s="3">
        <v>695</v>
      </c>
      <c r="O65" s="3" t="s">
        <v>203</v>
      </c>
      <c r="P65" s="3">
        <v>0</v>
      </c>
      <c r="Q65" s="3">
        <v>4</v>
      </c>
      <c r="R65" s="3" t="s">
        <v>206</v>
      </c>
      <c r="S65" s="3">
        <v>695</v>
      </c>
      <c r="T65" s="3" t="s">
        <v>214</v>
      </c>
      <c r="U65" s="3" t="s">
        <v>229</v>
      </c>
      <c r="V65" s="3" t="str">
        <f>IFERROR(_xlfn.XLOOKUP(SalesTbl[[#This Row],[Customer ID]], CustomerTbl[Customer ID], CustomerTbl[Customer Name]), "Not Found")</f>
        <v>Noah Wilson</v>
      </c>
    </row>
    <row r="66" spans="1:22">
      <c r="A66" s="3" t="s">
        <v>85</v>
      </c>
      <c r="B66" s="4">
        <v>45217</v>
      </c>
      <c r="C66" s="3"/>
      <c r="D66" s="4">
        <v>45219</v>
      </c>
      <c r="E66" s="3" t="s">
        <v>125</v>
      </c>
      <c r="F66" s="3" t="s">
        <v>176</v>
      </c>
      <c r="G66" s="3" t="s">
        <v>187</v>
      </c>
      <c r="H66" s="3">
        <v>69</v>
      </c>
      <c r="I66" s="3">
        <v>3</v>
      </c>
      <c r="J66" s="3">
        <v>207</v>
      </c>
      <c r="K66" s="3" t="s">
        <v>192</v>
      </c>
      <c r="L66" s="3" t="s">
        <v>195</v>
      </c>
      <c r="M66" s="3" t="s">
        <v>201</v>
      </c>
      <c r="N66" s="3">
        <v>207</v>
      </c>
      <c r="O66" s="3" t="s">
        <v>203</v>
      </c>
      <c r="P66" s="3">
        <v>1</v>
      </c>
      <c r="Q66" s="3"/>
      <c r="R66" s="3" t="s">
        <v>204</v>
      </c>
      <c r="S66" s="3">
        <v>0</v>
      </c>
      <c r="T66" s="3" t="s">
        <v>220</v>
      </c>
      <c r="U66" s="3" t="s">
        <v>233</v>
      </c>
      <c r="V66" s="3" t="str">
        <f>IFERROR(_xlfn.XLOOKUP(SalesTbl[[#This Row],[Customer ID]], CustomerTbl[Customer ID], CustomerTbl[Customer Name]), "Not Found")</f>
        <v>Jackson Allen</v>
      </c>
    </row>
    <row r="67" spans="1:22">
      <c r="A67" s="3" t="s">
        <v>86</v>
      </c>
      <c r="B67" s="4">
        <v>45066</v>
      </c>
      <c r="C67" s="3"/>
      <c r="D67" s="4">
        <v>45067</v>
      </c>
      <c r="E67" s="3" t="s">
        <v>125</v>
      </c>
      <c r="F67" s="3" t="s">
        <v>169</v>
      </c>
      <c r="G67" s="3" t="s">
        <v>189</v>
      </c>
      <c r="H67" s="3">
        <v>42</v>
      </c>
      <c r="I67" s="3">
        <v>1</v>
      </c>
      <c r="J67" s="3">
        <v>42</v>
      </c>
      <c r="K67" s="3" t="s">
        <v>190</v>
      </c>
      <c r="L67" s="3" t="s">
        <v>195</v>
      </c>
      <c r="M67" s="3" t="s">
        <v>198</v>
      </c>
      <c r="N67" s="3">
        <v>42</v>
      </c>
      <c r="O67" s="3" t="s">
        <v>203</v>
      </c>
      <c r="P67" s="3">
        <v>1</v>
      </c>
      <c r="Q67" s="3"/>
      <c r="R67" s="3" t="s">
        <v>204</v>
      </c>
      <c r="S67" s="3">
        <v>0</v>
      </c>
      <c r="T67" s="3" t="s">
        <v>213</v>
      </c>
      <c r="U67" s="3" t="s">
        <v>231</v>
      </c>
      <c r="V67" s="3" t="str">
        <f>IFERROR(_xlfn.XLOOKUP(SalesTbl[[#This Row],[Customer ID]], CustomerTbl[Customer ID], CustomerTbl[Customer Name]), "Not Found")</f>
        <v>Jackson Allen</v>
      </c>
    </row>
    <row r="68" spans="1:22">
      <c r="A68" s="3" t="s">
        <v>87</v>
      </c>
      <c r="B68" s="4">
        <v>45135</v>
      </c>
      <c r="C68" s="4">
        <v>45137</v>
      </c>
      <c r="D68" s="3"/>
      <c r="E68" s="3" t="s">
        <v>157</v>
      </c>
      <c r="F68" s="3" t="s">
        <v>183</v>
      </c>
      <c r="G68" s="3" t="s">
        <v>185</v>
      </c>
      <c r="H68" s="3">
        <v>31</v>
      </c>
      <c r="I68" s="3">
        <v>4</v>
      </c>
      <c r="J68" s="3">
        <v>124</v>
      </c>
      <c r="K68" s="3" t="s">
        <v>191</v>
      </c>
      <c r="L68" s="3" t="s">
        <v>196</v>
      </c>
      <c r="M68" s="3" t="s">
        <v>200</v>
      </c>
      <c r="N68" s="3">
        <v>124</v>
      </c>
      <c r="O68" s="3" t="s">
        <v>203</v>
      </c>
      <c r="P68" s="3">
        <v>0</v>
      </c>
      <c r="Q68" s="3">
        <v>2</v>
      </c>
      <c r="R68" s="3" t="s">
        <v>205</v>
      </c>
      <c r="S68" s="3">
        <v>124</v>
      </c>
      <c r="T68" s="3" t="s">
        <v>227</v>
      </c>
      <c r="U68" s="3" t="s">
        <v>230</v>
      </c>
      <c r="V68" s="3" t="str">
        <f>IFERROR(_xlfn.XLOOKUP(SalesTbl[[#This Row],[Customer ID]], CustomerTbl[Customer ID], CustomerTbl[Customer Name]), "Not Found")</f>
        <v>Not Found</v>
      </c>
    </row>
    <row r="69" spans="1:22">
      <c r="A69" s="3" t="s">
        <v>88</v>
      </c>
      <c r="B69" s="4">
        <v>45278</v>
      </c>
      <c r="C69" s="3"/>
      <c r="D69" s="3"/>
      <c r="E69" s="3" t="s">
        <v>130</v>
      </c>
      <c r="F69" s="3" t="s">
        <v>167</v>
      </c>
      <c r="G69" s="3" t="s">
        <v>189</v>
      </c>
      <c r="H69" s="3">
        <v>104</v>
      </c>
      <c r="I69" s="3">
        <v>3</v>
      </c>
      <c r="J69" s="3">
        <v>312</v>
      </c>
      <c r="K69" s="3" t="s">
        <v>191</v>
      </c>
      <c r="L69" s="3" t="s">
        <v>197</v>
      </c>
      <c r="M69" s="3" t="s">
        <v>200</v>
      </c>
      <c r="N69" s="3">
        <v>312</v>
      </c>
      <c r="O69" s="3" t="s">
        <v>203</v>
      </c>
      <c r="P69" s="3">
        <v>0</v>
      </c>
      <c r="Q69" s="3"/>
      <c r="R69" s="3" t="s">
        <v>204</v>
      </c>
      <c r="S69" s="3">
        <v>0</v>
      </c>
      <c r="T69" s="3" t="s">
        <v>211</v>
      </c>
      <c r="U69" s="3" t="s">
        <v>232</v>
      </c>
      <c r="V69" s="3" t="str">
        <f>IFERROR(_xlfn.XLOOKUP(SalesTbl[[#This Row],[Customer ID]], CustomerTbl[Customer ID], CustomerTbl[Customer Name]), "Not Found")</f>
        <v>Emily Johnson</v>
      </c>
    </row>
    <row r="70" spans="1:22">
      <c r="A70" s="3" t="s">
        <v>89</v>
      </c>
      <c r="B70" s="4">
        <v>45109</v>
      </c>
      <c r="C70" s="3"/>
      <c r="D70" s="4">
        <v>45114</v>
      </c>
      <c r="E70" s="3" t="s">
        <v>123</v>
      </c>
      <c r="F70" s="3" t="s">
        <v>166</v>
      </c>
      <c r="G70" s="3" t="s">
        <v>186</v>
      </c>
      <c r="H70" s="3">
        <v>58</v>
      </c>
      <c r="I70" s="3">
        <v>2</v>
      </c>
      <c r="J70" s="3">
        <v>116</v>
      </c>
      <c r="K70" s="3" t="s">
        <v>190</v>
      </c>
      <c r="L70" s="3" t="s">
        <v>195</v>
      </c>
      <c r="M70" s="3" t="s">
        <v>199</v>
      </c>
      <c r="N70" s="3">
        <v>116</v>
      </c>
      <c r="O70" s="3" t="s">
        <v>203</v>
      </c>
      <c r="P70" s="3">
        <v>1</v>
      </c>
      <c r="Q70" s="3"/>
      <c r="R70" s="3" t="s">
        <v>204</v>
      </c>
      <c r="S70" s="3">
        <v>0</v>
      </c>
      <c r="T70" s="3" t="s">
        <v>210</v>
      </c>
      <c r="U70" s="3" t="s">
        <v>231</v>
      </c>
      <c r="V70" s="3" t="str">
        <f>IFERROR(_xlfn.XLOOKUP(SalesTbl[[#This Row],[Customer ID]], CustomerTbl[Customer ID], CustomerTbl[Customer Name]), "Not Found")</f>
        <v>Grace Ward</v>
      </c>
    </row>
    <row r="71" spans="1:22">
      <c r="A71" s="3" t="s">
        <v>90</v>
      </c>
      <c r="B71" s="4">
        <v>45208</v>
      </c>
      <c r="C71" s="3"/>
      <c r="D71" s="4">
        <v>45209</v>
      </c>
      <c r="E71" s="3" t="s">
        <v>125</v>
      </c>
      <c r="F71" s="3" t="s">
        <v>184</v>
      </c>
      <c r="G71" s="3" t="s">
        <v>189</v>
      </c>
      <c r="H71" s="3">
        <v>62</v>
      </c>
      <c r="I71" s="3">
        <v>2</v>
      </c>
      <c r="J71" s="3">
        <v>124</v>
      </c>
      <c r="K71" s="3" t="s">
        <v>194</v>
      </c>
      <c r="L71" s="3" t="s">
        <v>195</v>
      </c>
      <c r="M71" s="3" t="s">
        <v>198</v>
      </c>
      <c r="N71" s="3">
        <v>124</v>
      </c>
      <c r="O71" s="3" t="s">
        <v>203</v>
      </c>
      <c r="P71" s="3">
        <v>1</v>
      </c>
      <c r="Q71" s="3"/>
      <c r="R71" s="3" t="s">
        <v>204</v>
      </c>
      <c r="S71" s="3">
        <v>0</v>
      </c>
      <c r="T71" s="3" t="s">
        <v>228</v>
      </c>
      <c r="U71" s="3" t="s">
        <v>230</v>
      </c>
      <c r="V71" s="3" t="str">
        <f>IFERROR(_xlfn.XLOOKUP(SalesTbl[[#This Row],[Customer ID]], CustomerTbl[Customer ID], CustomerTbl[Customer Name]), "Not Found")</f>
        <v>Jackson Allen</v>
      </c>
    </row>
    <row r="72" spans="1:22">
      <c r="A72" s="3" t="s">
        <v>91</v>
      </c>
      <c r="B72" s="4">
        <v>45278</v>
      </c>
      <c r="C72" s="4">
        <v>45285</v>
      </c>
      <c r="D72" s="3"/>
      <c r="E72" s="3" t="s">
        <v>147</v>
      </c>
      <c r="F72" s="3" t="s">
        <v>169</v>
      </c>
      <c r="G72" s="3" t="s">
        <v>186</v>
      </c>
      <c r="H72" s="3">
        <v>43</v>
      </c>
      <c r="I72" s="3">
        <v>1</v>
      </c>
      <c r="J72" s="3">
        <v>43</v>
      </c>
      <c r="K72" s="3" t="s">
        <v>191</v>
      </c>
      <c r="L72" s="3" t="s">
        <v>196</v>
      </c>
      <c r="M72" s="3" t="s">
        <v>201</v>
      </c>
      <c r="N72" s="3">
        <v>43</v>
      </c>
      <c r="O72" s="3" t="s">
        <v>203</v>
      </c>
      <c r="P72" s="3">
        <v>0</v>
      </c>
      <c r="Q72" s="3">
        <v>7</v>
      </c>
      <c r="R72" s="3" t="s">
        <v>206</v>
      </c>
      <c r="S72" s="3">
        <v>43</v>
      </c>
      <c r="T72" s="3" t="s">
        <v>213</v>
      </c>
      <c r="U72" s="3" t="s">
        <v>231</v>
      </c>
      <c r="V72" s="3" t="str">
        <f>IFERROR(_xlfn.XLOOKUP(SalesTbl[[#This Row],[Customer ID]], CustomerTbl[Customer ID], CustomerTbl[Customer Name]), "Not Found")</f>
        <v>Ava Robinson</v>
      </c>
    </row>
    <row r="73" spans="1:22">
      <c r="A73" s="3" t="s">
        <v>92</v>
      </c>
      <c r="B73" s="4">
        <v>44992</v>
      </c>
      <c r="C73" s="3"/>
      <c r="D73" s="3"/>
      <c r="E73" s="3" t="s">
        <v>154</v>
      </c>
      <c r="F73" s="3" t="s">
        <v>184</v>
      </c>
      <c r="G73" s="3" t="s">
        <v>186</v>
      </c>
      <c r="H73" s="3">
        <v>62</v>
      </c>
      <c r="I73" s="3">
        <v>4</v>
      </c>
      <c r="J73" s="3">
        <v>248</v>
      </c>
      <c r="K73" s="3" t="s">
        <v>194</v>
      </c>
      <c r="L73" s="3" t="s">
        <v>197</v>
      </c>
      <c r="M73" s="3" t="s">
        <v>201</v>
      </c>
      <c r="N73" s="3">
        <v>248</v>
      </c>
      <c r="O73" s="3" t="s">
        <v>203</v>
      </c>
      <c r="P73" s="3">
        <v>0</v>
      </c>
      <c r="Q73" s="3"/>
      <c r="R73" s="3" t="s">
        <v>204</v>
      </c>
      <c r="S73" s="3">
        <v>0</v>
      </c>
      <c r="T73" s="3" t="s">
        <v>228</v>
      </c>
      <c r="U73" s="3" t="s">
        <v>230</v>
      </c>
      <c r="V73" s="3" t="str">
        <f>IFERROR(_xlfn.XLOOKUP(SalesTbl[[#This Row],[Customer ID]], CustomerTbl[Customer ID], CustomerTbl[Customer Name]), "Not Found")</f>
        <v>Elijah Lewis</v>
      </c>
    </row>
    <row r="74" spans="1:22">
      <c r="A74" s="3" t="s">
        <v>93</v>
      </c>
      <c r="B74" s="4">
        <v>45129</v>
      </c>
      <c r="C74" s="3"/>
      <c r="D74" s="4">
        <v>45132</v>
      </c>
      <c r="E74" s="3" t="s">
        <v>138</v>
      </c>
      <c r="F74" s="3" t="s">
        <v>172</v>
      </c>
      <c r="G74" s="3" t="s">
        <v>185</v>
      </c>
      <c r="H74" s="3">
        <v>95</v>
      </c>
      <c r="I74" s="3">
        <v>2</v>
      </c>
      <c r="J74" s="3">
        <v>190</v>
      </c>
      <c r="K74" s="3" t="s">
        <v>192</v>
      </c>
      <c r="L74" s="3" t="s">
        <v>195</v>
      </c>
      <c r="M74" s="3" t="s">
        <v>200</v>
      </c>
      <c r="N74" s="3">
        <v>190</v>
      </c>
      <c r="O74" s="3" t="s">
        <v>203</v>
      </c>
      <c r="P74" s="3">
        <v>1</v>
      </c>
      <c r="Q74" s="3"/>
      <c r="R74" s="3" t="s">
        <v>204</v>
      </c>
      <c r="S74" s="3">
        <v>0</v>
      </c>
      <c r="T74" s="3" t="s">
        <v>216</v>
      </c>
      <c r="U74" s="3" t="s">
        <v>231</v>
      </c>
      <c r="V74" s="3" t="str">
        <f>IFERROR(_xlfn.XLOOKUP(SalesTbl[[#This Row],[Customer ID]], CustomerTbl[Customer ID], CustomerTbl[Customer Name]), "Not Found")</f>
        <v>Lily Bennett</v>
      </c>
    </row>
    <row r="75" spans="1:22">
      <c r="A75" s="3" t="s">
        <v>94</v>
      </c>
      <c r="B75" s="4">
        <v>44944</v>
      </c>
      <c r="C75" s="4">
        <v>44950</v>
      </c>
      <c r="D75" s="3"/>
      <c r="E75" s="3" t="s">
        <v>137</v>
      </c>
      <c r="F75" s="3" t="s">
        <v>168</v>
      </c>
      <c r="G75" s="3" t="s">
        <v>188</v>
      </c>
      <c r="H75" s="3">
        <v>36</v>
      </c>
      <c r="I75" s="3">
        <v>4</v>
      </c>
      <c r="J75" s="3">
        <v>144</v>
      </c>
      <c r="K75" s="3" t="s">
        <v>190</v>
      </c>
      <c r="L75" s="3" t="s">
        <v>196</v>
      </c>
      <c r="M75" s="3" t="s">
        <v>202</v>
      </c>
      <c r="N75" s="3">
        <v>144</v>
      </c>
      <c r="O75" s="3" t="s">
        <v>203</v>
      </c>
      <c r="P75" s="3">
        <v>0</v>
      </c>
      <c r="Q75" s="3">
        <v>6</v>
      </c>
      <c r="R75" s="3" t="s">
        <v>206</v>
      </c>
      <c r="S75" s="3">
        <v>144</v>
      </c>
      <c r="T75" s="3" t="s">
        <v>212</v>
      </c>
      <c r="U75" s="3" t="s">
        <v>229</v>
      </c>
      <c r="V75" s="3" t="str">
        <f>IFERROR(_xlfn.XLOOKUP(SalesTbl[[#This Row],[Customer ID]], CustomerTbl[Customer ID], CustomerTbl[Customer Name]), "Not Found")</f>
        <v>Elijah Lewis</v>
      </c>
    </row>
    <row r="76" spans="1:22">
      <c r="A76" s="3" t="s">
        <v>95</v>
      </c>
      <c r="B76" s="4">
        <v>45070</v>
      </c>
      <c r="C76" s="3"/>
      <c r="D76" s="3"/>
      <c r="E76" s="3" t="s">
        <v>126</v>
      </c>
      <c r="F76" s="3" t="s">
        <v>173</v>
      </c>
      <c r="G76" s="3" t="s">
        <v>186</v>
      </c>
      <c r="H76" s="3">
        <v>73</v>
      </c>
      <c r="I76" s="3">
        <v>5</v>
      </c>
      <c r="J76" s="3">
        <v>365</v>
      </c>
      <c r="K76" s="3" t="s">
        <v>190</v>
      </c>
      <c r="L76" s="3" t="s">
        <v>197</v>
      </c>
      <c r="M76" s="3" t="s">
        <v>198</v>
      </c>
      <c r="N76" s="3">
        <v>365</v>
      </c>
      <c r="O76" s="3" t="s">
        <v>203</v>
      </c>
      <c r="P76" s="3">
        <v>0</v>
      </c>
      <c r="Q76" s="3"/>
      <c r="R76" s="3" t="s">
        <v>204</v>
      </c>
      <c r="S76" s="3">
        <v>0</v>
      </c>
      <c r="T76" s="3" t="s">
        <v>217</v>
      </c>
      <c r="U76" s="3" t="s">
        <v>232</v>
      </c>
      <c r="V76" s="3" t="str">
        <f>IFERROR(_xlfn.XLOOKUP(SalesTbl[[#This Row],[Customer ID]], CustomerTbl[Customer ID], CustomerTbl[Customer Name]), "Not Found")</f>
        <v>Noah Wilson</v>
      </c>
    </row>
    <row r="77" spans="1:22">
      <c r="A77" s="3" t="s">
        <v>96</v>
      </c>
      <c r="B77" s="4">
        <v>45172</v>
      </c>
      <c r="C77" s="4">
        <v>45178</v>
      </c>
      <c r="D77" s="3"/>
      <c r="E77" s="3" t="s">
        <v>131</v>
      </c>
      <c r="F77" s="3" t="s">
        <v>169</v>
      </c>
      <c r="G77" s="3" t="s">
        <v>185</v>
      </c>
      <c r="H77" s="3">
        <v>43</v>
      </c>
      <c r="I77" s="3">
        <v>4</v>
      </c>
      <c r="J77" s="3">
        <v>172</v>
      </c>
      <c r="K77" s="3" t="s">
        <v>194</v>
      </c>
      <c r="L77" s="3" t="s">
        <v>196</v>
      </c>
      <c r="M77" s="3" t="s">
        <v>198</v>
      </c>
      <c r="N77" s="3">
        <v>172</v>
      </c>
      <c r="O77" s="3" t="s">
        <v>203</v>
      </c>
      <c r="P77" s="3">
        <v>0</v>
      </c>
      <c r="Q77" s="3">
        <v>6</v>
      </c>
      <c r="R77" s="3" t="s">
        <v>206</v>
      </c>
      <c r="S77" s="3">
        <v>172</v>
      </c>
      <c r="T77" s="3" t="s">
        <v>213</v>
      </c>
      <c r="U77" s="3" t="s">
        <v>231</v>
      </c>
      <c r="V77" s="3" t="str">
        <f>IFERROR(_xlfn.XLOOKUP(SalesTbl[[#This Row],[Customer ID]], CustomerTbl[Customer ID], CustomerTbl[Customer Name]), "Not Found")</f>
        <v>Charlotte Reed</v>
      </c>
    </row>
    <row r="78" spans="1:22">
      <c r="A78" s="3" t="s">
        <v>97</v>
      </c>
      <c r="B78" s="4">
        <v>45232</v>
      </c>
      <c r="C78" s="4">
        <v>45234</v>
      </c>
      <c r="D78" s="3"/>
      <c r="E78" s="3" t="s">
        <v>155</v>
      </c>
      <c r="F78" s="3" t="s">
        <v>182</v>
      </c>
      <c r="G78" s="3" t="s">
        <v>189</v>
      </c>
      <c r="H78" s="3">
        <v>214</v>
      </c>
      <c r="I78" s="3">
        <v>5</v>
      </c>
      <c r="J78" s="3">
        <v>1070</v>
      </c>
      <c r="K78" s="3" t="s">
        <v>194</v>
      </c>
      <c r="L78" s="3" t="s">
        <v>196</v>
      </c>
      <c r="M78" s="3" t="s">
        <v>200</v>
      </c>
      <c r="N78" s="3">
        <v>1070</v>
      </c>
      <c r="O78" s="3" t="s">
        <v>203</v>
      </c>
      <c r="P78" s="3">
        <v>0</v>
      </c>
      <c r="Q78" s="3">
        <v>2</v>
      </c>
      <c r="R78" s="3" t="s">
        <v>205</v>
      </c>
      <c r="S78" s="3">
        <v>1070</v>
      </c>
      <c r="T78" s="3" t="s">
        <v>226</v>
      </c>
      <c r="U78" s="3" t="s">
        <v>229</v>
      </c>
      <c r="V78" s="3" t="str">
        <f>IFERROR(_xlfn.XLOOKUP(SalesTbl[[#This Row],[Customer ID]], CustomerTbl[Customer ID], CustomerTbl[Customer Name]), "Not Found")</f>
        <v>Noah Wilson</v>
      </c>
    </row>
    <row r="79" spans="1:22">
      <c r="A79" s="3" t="s">
        <v>98</v>
      </c>
      <c r="B79" s="4">
        <v>45263</v>
      </c>
      <c r="C79" s="3"/>
      <c r="D79" s="4">
        <v>45266</v>
      </c>
      <c r="E79" s="3" t="s">
        <v>156</v>
      </c>
      <c r="F79" s="3" t="s">
        <v>178</v>
      </c>
      <c r="G79" s="3" t="s">
        <v>188</v>
      </c>
      <c r="H79" s="3">
        <v>42</v>
      </c>
      <c r="I79" s="3">
        <v>2</v>
      </c>
      <c r="J79" s="3">
        <v>84</v>
      </c>
      <c r="K79" s="3" t="s">
        <v>190</v>
      </c>
      <c r="L79" s="3" t="s">
        <v>195</v>
      </c>
      <c r="M79" s="3" t="s">
        <v>200</v>
      </c>
      <c r="N79" s="3">
        <v>84</v>
      </c>
      <c r="O79" s="3" t="s">
        <v>203</v>
      </c>
      <c r="P79" s="3">
        <v>1</v>
      </c>
      <c r="Q79" s="3"/>
      <c r="R79" s="3" t="s">
        <v>204</v>
      </c>
      <c r="S79" s="3">
        <v>0</v>
      </c>
      <c r="T79" s="3" t="s">
        <v>222</v>
      </c>
      <c r="U79" s="3" t="s">
        <v>230</v>
      </c>
      <c r="V79" s="3" t="str">
        <f>IFERROR(_xlfn.XLOOKUP(SalesTbl[[#This Row],[Customer ID]], CustomerTbl[Customer ID], CustomerTbl[Customer Name]), "Not Found")</f>
        <v>Noah Wilson</v>
      </c>
    </row>
    <row r="80" spans="1:22">
      <c r="A80" s="3" t="s">
        <v>99</v>
      </c>
      <c r="B80" s="4">
        <v>45017</v>
      </c>
      <c r="C80" s="3"/>
      <c r="D80" s="3"/>
      <c r="E80" s="3" t="s">
        <v>156</v>
      </c>
      <c r="F80" s="3" t="s">
        <v>163</v>
      </c>
      <c r="G80" s="3" t="s">
        <v>185</v>
      </c>
      <c r="H80" s="3">
        <v>46</v>
      </c>
      <c r="I80" s="3">
        <v>1</v>
      </c>
      <c r="J80" s="3">
        <v>46</v>
      </c>
      <c r="K80" s="3" t="s">
        <v>193</v>
      </c>
      <c r="L80" s="3" t="s">
        <v>197</v>
      </c>
      <c r="M80" s="3" t="s">
        <v>200</v>
      </c>
      <c r="N80" s="3">
        <v>46</v>
      </c>
      <c r="O80" s="3" t="s">
        <v>203</v>
      </c>
      <c r="P80" s="3">
        <v>0</v>
      </c>
      <c r="Q80" s="3"/>
      <c r="R80" s="3" t="s">
        <v>204</v>
      </c>
      <c r="S80" s="3">
        <v>0</v>
      </c>
      <c r="T80" s="3" t="s">
        <v>207</v>
      </c>
      <c r="U80" s="3" t="s">
        <v>229</v>
      </c>
      <c r="V80" s="3" t="str">
        <f>IFERROR(_xlfn.XLOOKUP(SalesTbl[[#This Row],[Customer ID]], CustomerTbl[Customer ID], CustomerTbl[Customer Name]), "Not Found")</f>
        <v>Noah Wilson</v>
      </c>
    </row>
    <row r="81" spans="1:22">
      <c r="A81" s="3" t="s">
        <v>100</v>
      </c>
      <c r="B81" s="4">
        <v>45215</v>
      </c>
      <c r="C81" s="4">
        <v>45218</v>
      </c>
      <c r="D81" s="3"/>
      <c r="E81" s="3" t="s">
        <v>145</v>
      </c>
      <c r="F81" s="3" t="s">
        <v>164</v>
      </c>
      <c r="G81" s="3" t="s">
        <v>186</v>
      </c>
      <c r="H81" s="3">
        <v>95</v>
      </c>
      <c r="I81" s="3">
        <v>4</v>
      </c>
      <c r="J81" s="3">
        <v>380</v>
      </c>
      <c r="K81" s="3" t="s">
        <v>191</v>
      </c>
      <c r="L81" s="3" t="s">
        <v>196</v>
      </c>
      <c r="M81" s="3" t="s">
        <v>200</v>
      </c>
      <c r="N81" s="3">
        <v>380</v>
      </c>
      <c r="O81" s="3" t="s">
        <v>203</v>
      </c>
      <c r="P81" s="3">
        <v>0</v>
      </c>
      <c r="Q81" s="3">
        <v>3</v>
      </c>
      <c r="R81" s="3" t="s">
        <v>206</v>
      </c>
      <c r="S81" s="3">
        <v>380</v>
      </c>
      <c r="T81" s="3" t="s">
        <v>208</v>
      </c>
      <c r="U81" s="3" t="s">
        <v>230</v>
      </c>
      <c r="V81" s="3" t="str">
        <f>IFERROR(_xlfn.XLOOKUP(SalesTbl[[#This Row],[Customer ID]], CustomerTbl[Customer ID], CustomerTbl[Customer Name]), "Not Found")</f>
        <v>Luke Gray</v>
      </c>
    </row>
    <row r="82" spans="1:22">
      <c r="A82" s="3" t="s">
        <v>101</v>
      </c>
      <c r="B82" s="4">
        <v>45235</v>
      </c>
      <c r="C82" s="3"/>
      <c r="D82" s="3"/>
      <c r="E82" s="3" t="s">
        <v>148</v>
      </c>
      <c r="F82" s="3" t="s">
        <v>181</v>
      </c>
      <c r="G82" s="3" t="s">
        <v>189</v>
      </c>
      <c r="H82" s="3">
        <v>174</v>
      </c>
      <c r="I82" s="3">
        <v>2</v>
      </c>
      <c r="J82" s="3">
        <v>348</v>
      </c>
      <c r="K82" s="3" t="s">
        <v>192</v>
      </c>
      <c r="L82" s="3" t="s">
        <v>197</v>
      </c>
      <c r="M82" s="3" t="s">
        <v>200</v>
      </c>
      <c r="N82" s="3">
        <v>348</v>
      </c>
      <c r="O82" s="3" t="s">
        <v>203</v>
      </c>
      <c r="P82" s="3">
        <v>0</v>
      </c>
      <c r="Q82" s="3"/>
      <c r="R82" s="3" t="s">
        <v>204</v>
      </c>
      <c r="S82" s="3">
        <v>0</v>
      </c>
      <c r="T82" s="3" t="s">
        <v>225</v>
      </c>
      <c r="U82" s="3" t="s">
        <v>232</v>
      </c>
      <c r="V82" s="3" t="str">
        <f>IFERROR(_xlfn.XLOOKUP(SalesTbl[[#This Row],[Customer ID]], CustomerTbl[Customer ID], CustomerTbl[Customer Name]), "Not Found")</f>
        <v>James Miller</v>
      </c>
    </row>
    <row r="83" spans="1:22">
      <c r="A83" s="3" t="s">
        <v>102</v>
      </c>
      <c r="B83" s="4">
        <v>45092</v>
      </c>
      <c r="C83" s="3"/>
      <c r="D83" s="4">
        <v>45095</v>
      </c>
      <c r="E83" s="3" t="s">
        <v>129</v>
      </c>
      <c r="F83" s="3" t="s">
        <v>174</v>
      </c>
      <c r="G83" s="3" t="s">
        <v>185</v>
      </c>
      <c r="H83" s="3">
        <v>27</v>
      </c>
      <c r="I83" s="3">
        <v>5</v>
      </c>
      <c r="J83" s="3">
        <v>135</v>
      </c>
      <c r="K83" s="3" t="s">
        <v>191</v>
      </c>
      <c r="L83" s="3" t="s">
        <v>195</v>
      </c>
      <c r="M83" s="3" t="s">
        <v>201</v>
      </c>
      <c r="N83" s="3">
        <v>135</v>
      </c>
      <c r="O83" s="3" t="s">
        <v>203</v>
      </c>
      <c r="P83" s="3">
        <v>1</v>
      </c>
      <c r="Q83" s="3"/>
      <c r="R83" s="3" t="s">
        <v>204</v>
      </c>
      <c r="S83" s="3">
        <v>0</v>
      </c>
      <c r="T83" s="3" t="s">
        <v>218</v>
      </c>
      <c r="U83" s="3" t="s">
        <v>231</v>
      </c>
      <c r="V83" s="3" t="str">
        <f>IFERROR(_xlfn.XLOOKUP(SalesTbl[[#This Row],[Customer ID]], CustomerTbl[Customer ID], CustomerTbl[Customer Name]), "Not Found")</f>
        <v>Emily Johnson</v>
      </c>
    </row>
    <row r="84" spans="1:22">
      <c r="A84" s="3" t="s">
        <v>103</v>
      </c>
      <c r="B84" s="4">
        <v>45227</v>
      </c>
      <c r="C84" s="4">
        <v>45229</v>
      </c>
      <c r="D84" s="3"/>
      <c r="E84" s="3" t="s">
        <v>121</v>
      </c>
      <c r="F84" s="3" t="s">
        <v>174</v>
      </c>
      <c r="G84" s="3" t="s">
        <v>187</v>
      </c>
      <c r="H84" s="3">
        <v>27</v>
      </c>
      <c r="I84" s="3">
        <v>4</v>
      </c>
      <c r="J84" s="3">
        <v>108</v>
      </c>
      <c r="K84" s="3" t="s">
        <v>192</v>
      </c>
      <c r="L84" s="3" t="s">
        <v>196</v>
      </c>
      <c r="M84" s="3" t="s">
        <v>199</v>
      </c>
      <c r="N84" s="3">
        <v>108</v>
      </c>
      <c r="O84" s="3" t="s">
        <v>203</v>
      </c>
      <c r="P84" s="3">
        <v>0</v>
      </c>
      <c r="Q84" s="3">
        <v>2</v>
      </c>
      <c r="R84" s="3" t="s">
        <v>205</v>
      </c>
      <c r="S84" s="3">
        <v>108</v>
      </c>
      <c r="T84" s="3" t="s">
        <v>218</v>
      </c>
      <c r="U84" s="3" t="s">
        <v>231</v>
      </c>
      <c r="V84" s="3" t="str">
        <f>IFERROR(_xlfn.XLOOKUP(SalesTbl[[#This Row],[Customer ID]], CustomerTbl[Customer ID], CustomerTbl[Customer Name]), "Not Found")</f>
        <v>Zoe Mitchell</v>
      </c>
    </row>
    <row r="85" spans="1:22">
      <c r="A85" s="3" t="s">
        <v>104</v>
      </c>
      <c r="B85" s="4">
        <v>45282</v>
      </c>
      <c r="C85" s="3"/>
      <c r="D85" s="3"/>
      <c r="E85" s="3" t="s">
        <v>158</v>
      </c>
      <c r="F85" s="3" t="s">
        <v>179</v>
      </c>
      <c r="G85" s="3" t="s">
        <v>187</v>
      </c>
      <c r="H85" s="3">
        <v>65</v>
      </c>
      <c r="I85" s="3">
        <v>2</v>
      </c>
      <c r="J85" s="3">
        <v>130</v>
      </c>
      <c r="K85" s="3" t="s">
        <v>192</v>
      </c>
      <c r="L85" s="3" t="s">
        <v>197</v>
      </c>
      <c r="M85" s="3" t="s">
        <v>198</v>
      </c>
      <c r="N85" s="3">
        <v>130</v>
      </c>
      <c r="O85" s="3" t="s">
        <v>203</v>
      </c>
      <c r="P85" s="3">
        <v>0</v>
      </c>
      <c r="Q85" s="3"/>
      <c r="R85" s="3" t="s">
        <v>204</v>
      </c>
      <c r="S85" s="3">
        <v>0</v>
      </c>
      <c r="T85" s="3" t="s">
        <v>223</v>
      </c>
      <c r="U85" s="3" t="s">
        <v>231</v>
      </c>
      <c r="V85" s="3" t="str">
        <f>IFERROR(_xlfn.XLOOKUP(SalesTbl[[#This Row],[Customer ID]], CustomerTbl[Customer ID], CustomerTbl[Customer Name]), "Not Found")</f>
        <v>Ava White</v>
      </c>
    </row>
    <row r="86" spans="1:22">
      <c r="A86" s="3" t="s">
        <v>105</v>
      </c>
      <c r="B86" s="4">
        <v>44992</v>
      </c>
      <c r="C86" s="3"/>
      <c r="D86" s="3"/>
      <c r="E86" s="3" t="s">
        <v>130</v>
      </c>
      <c r="F86" s="3" t="s">
        <v>169</v>
      </c>
      <c r="G86" s="3" t="s">
        <v>186</v>
      </c>
      <c r="H86" s="3">
        <v>43</v>
      </c>
      <c r="I86" s="3">
        <v>5</v>
      </c>
      <c r="J86" s="3">
        <v>215</v>
      </c>
      <c r="K86" s="3" t="s">
        <v>194</v>
      </c>
      <c r="L86" s="3" t="s">
        <v>197</v>
      </c>
      <c r="M86" s="3" t="s">
        <v>198</v>
      </c>
      <c r="N86" s="3">
        <v>215</v>
      </c>
      <c r="O86" s="3" t="s">
        <v>203</v>
      </c>
      <c r="P86" s="3">
        <v>0</v>
      </c>
      <c r="Q86" s="3"/>
      <c r="R86" s="3" t="s">
        <v>204</v>
      </c>
      <c r="S86" s="3">
        <v>0</v>
      </c>
      <c r="T86" s="3" t="s">
        <v>213</v>
      </c>
      <c r="U86" s="3" t="s">
        <v>231</v>
      </c>
      <c r="V86" s="3" t="str">
        <f>IFERROR(_xlfn.XLOOKUP(SalesTbl[[#This Row],[Customer ID]], CustomerTbl[Customer ID], CustomerTbl[Customer Name]), "Not Found")</f>
        <v>Emily Johnson</v>
      </c>
    </row>
    <row r="87" spans="1:22">
      <c r="A87" s="3" t="s">
        <v>106</v>
      </c>
      <c r="B87" s="4">
        <v>45240</v>
      </c>
      <c r="C87" s="3"/>
      <c r="D87" s="3"/>
      <c r="E87" s="3" t="s">
        <v>141</v>
      </c>
      <c r="F87" s="3" t="s">
        <v>182</v>
      </c>
      <c r="G87" s="3" t="s">
        <v>189</v>
      </c>
      <c r="H87" s="3">
        <v>210</v>
      </c>
      <c r="I87" s="3">
        <v>1</v>
      </c>
      <c r="J87" s="3">
        <v>210</v>
      </c>
      <c r="K87" s="3" t="s">
        <v>192</v>
      </c>
      <c r="L87" s="3" t="s">
        <v>197</v>
      </c>
      <c r="M87" s="3" t="s">
        <v>200</v>
      </c>
      <c r="N87" s="3">
        <v>210</v>
      </c>
      <c r="O87" s="3" t="s">
        <v>203</v>
      </c>
      <c r="P87" s="3">
        <v>0</v>
      </c>
      <c r="Q87" s="3"/>
      <c r="R87" s="3" t="s">
        <v>204</v>
      </c>
      <c r="S87" s="3">
        <v>0</v>
      </c>
      <c r="T87" s="3" t="s">
        <v>226</v>
      </c>
      <c r="U87" s="3" t="s">
        <v>229</v>
      </c>
      <c r="V87" s="3" t="str">
        <f>IFERROR(_xlfn.XLOOKUP(SalesTbl[[#This Row],[Customer ID]], CustomerTbl[Customer ID], CustomerTbl[Customer Name]), "Not Found")</f>
        <v>Liam Walker</v>
      </c>
    </row>
    <row r="88" spans="1:22">
      <c r="A88" s="3" t="s">
        <v>107</v>
      </c>
      <c r="B88" s="4">
        <v>45252</v>
      </c>
      <c r="C88" s="3"/>
      <c r="D88" s="3"/>
      <c r="E88" s="3" t="s">
        <v>159</v>
      </c>
      <c r="F88" s="3" t="s">
        <v>168</v>
      </c>
      <c r="G88" s="3" t="s">
        <v>187</v>
      </c>
      <c r="H88" s="3">
        <v>37</v>
      </c>
      <c r="I88" s="3">
        <v>3</v>
      </c>
      <c r="J88" s="3">
        <v>111</v>
      </c>
      <c r="K88" s="3" t="s">
        <v>191</v>
      </c>
      <c r="L88" s="3" t="s">
        <v>197</v>
      </c>
      <c r="M88" s="3" t="s">
        <v>200</v>
      </c>
      <c r="N88" s="3">
        <v>111</v>
      </c>
      <c r="O88" s="3" t="s">
        <v>203</v>
      </c>
      <c r="P88" s="3">
        <v>0</v>
      </c>
      <c r="Q88" s="3"/>
      <c r="R88" s="3" t="s">
        <v>204</v>
      </c>
      <c r="S88" s="3">
        <v>0</v>
      </c>
      <c r="T88" s="3" t="s">
        <v>212</v>
      </c>
      <c r="U88" s="3" t="s">
        <v>229</v>
      </c>
      <c r="V88" s="3" t="str">
        <f>IFERROR(_xlfn.XLOOKUP(SalesTbl[[#This Row],[Customer ID]], CustomerTbl[Customer ID], CustomerTbl[Customer Name]), "Not Found")</f>
        <v>Lily Reed</v>
      </c>
    </row>
    <row r="89" spans="1:22">
      <c r="A89" s="3" t="s">
        <v>108</v>
      </c>
      <c r="B89" s="4">
        <v>45054</v>
      </c>
      <c r="C89" s="3"/>
      <c r="D89" s="3"/>
      <c r="E89" s="3" t="s">
        <v>141</v>
      </c>
      <c r="F89" s="3" t="s">
        <v>177</v>
      </c>
      <c r="G89" s="3" t="s">
        <v>187</v>
      </c>
      <c r="H89" s="3">
        <v>788</v>
      </c>
      <c r="I89" s="3">
        <v>4</v>
      </c>
      <c r="J89" s="3">
        <v>3152</v>
      </c>
      <c r="K89" s="3" t="s">
        <v>194</v>
      </c>
      <c r="L89" s="3" t="s">
        <v>197</v>
      </c>
      <c r="M89" s="3" t="s">
        <v>201</v>
      </c>
      <c r="N89" s="3">
        <v>3152</v>
      </c>
      <c r="O89" s="3" t="s">
        <v>203</v>
      </c>
      <c r="P89" s="3">
        <v>0</v>
      </c>
      <c r="Q89" s="3"/>
      <c r="R89" s="3" t="s">
        <v>204</v>
      </c>
      <c r="S89" s="3">
        <v>0</v>
      </c>
      <c r="T89" s="3" t="s">
        <v>221</v>
      </c>
      <c r="U89" s="3" t="s">
        <v>232</v>
      </c>
      <c r="V89" s="3" t="str">
        <f>IFERROR(_xlfn.XLOOKUP(SalesTbl[[#This Row],[Customer ID]], CustomerTbl[Customer ID], CustomerTbl[Customer Name]), "Not Found")</f>
        <v>Liam Walker</v>
      </c>
    </row>
    <row r="90" spans="1:22">
      <c r="A90" s="3" t="s">
        <v>109</v>
      </c>
      <c r="B90" s="4">
        <v>45120</v>
      </c>
      <c r="C90" s="3"/>
      <c r="D90" s="3"/>
      <c r="E90" s="3" t="s">
        <v>141</v>
      </c>
      <c r="F90" s="3" t="s">
        <v>182</v>
      </c>
      <c r="G90" s="3" t="s">
        <v>189</v>
      </c>
      <c r="H90" s="3">
        <v>217</v>
      </c>
      <c r="I90" s="3">
        <v>5</v>
      </c>
      <c r="J90" s="3">
        <v>1085</v>
      </c>
      <c r="K90" s="3" t="s">
        <v>194</v>
      </c>
      <c r="L90" s="3" t="s">
        <v>197</v>
      </c>
      <c r="M90" s="3" t="s">
        <v>202</v>
      </c>
      <c r="N90" s="3">
        <v>1085</v>
      </c>
      <c r="O90" s="3" t="s">
        <v>203</v>
      </c>
      <c r="P90" s="3">
        <v>0</v>
      </c>
      <c r="Q90" s="3"/>
      <c r="R90" s="3" t="s">
        <v>204</v>
      </c>
      <c r="S90" s="3">
        <v>0</v>
      </c>
      <c r="T90" s="3" t="s">
        <v>226</v>
      </c>
      <c r="U90" s="3" t="s">
        <v>229</v>
      </c>
      <c r="V90" s="3" t="str">
        <f>IFERROR(_xlfn.XLOOKUP(SalesTbl[[#This Row],[Customer ID]], CustomerTbl[Customer ID], CustomerTbl[Customer Name]), "Not Found")</f>
        <v>Liam Walker</v>
      </c>
    </row>
    <row r="91" spans="1:22">
      <c r="A91" s="3" t="s">
        <v>110</v>
      </c>
      <c r="B91" s="4">
        <v>44944</v>
      </c>
      <c r="C91" s="3"/>
      <c r="D91" s="3"/>
      <c r="E91" s="3" t="s">
        <v>141</v>
      </c>
      <c r="F91" s="3" t="s">
        <v>170</v>
      </c>
      <c r="G91" s="3" t="s">
        <v>189</v>
      </c>
      <c r="H91" s="3">
        <v>138</v>
      </c>
      <c r="I91" s="3">
        <v>4</v>
      </c>
      <c r="J91" s="3">
        <v>552</v>
      </c>
      <c r="K91" s="3" t="s">
        <v>191</v>
      </c>
      <c r="L91" s="3" t="s">
        <v>197</v>
      </c>
      <c r="M91" s="3" t="s">
        <v>202</v>
      </c>
      <c r="N91" s="3">
        <v>552</v>
      </c>
      <c r="O91" s="3" t="s">
        <v>203</v>
      </c>
      <c r="P91" s="3">
        <v>0</v>
      </c>
      <c r="Q91" s="3"/>
      <c r="R91" s="3" t="s">
        <v>204</v>
      </c>
      <c r="S91" s="3">
        <v>0</v>
      </c>
      <c r="T91" s="3" t="s">
        <v>214</v>
      </c>
      <c r="U91" s="3" t="s">
        <v>229</v>
      </c>
      <c r="V91" s="3" t="str">
        <f>IFERROR(_xlfn.XLOOKUP(SalesTbl[[#This Row],[Customer ID]], CustomerTbl[Customer ID], CustomerTbl[Customer Name]), "Not Found")</f>
        <v>Liam Walker</v>
      </c>
    </row>
    <row r="92" spans="1:22">
      <c r="A92" s="3" t="s">
        <v>111</v>
      </c>
      <c r="B92" s="4">
        <v>45100</v>
      </c>
      <c r="C92" s="4">
        <v>45106</v>
      </c>
      <c r="D92" s="3"/>
      <c r="E92" s="3" t="s">
        <v>160</v>
      </c>
      <c r="F92" s="3" t="s">
        <v>177</v>
      </c>
      <c r="G92" s="3" t="s">
        <v>188</v>
      </c>
      <c r="H92" s="3">
        <v>803</v>
      </c>
      <c r="I92" s="3">
        <v>2</v>
      </c>
      <c r="J92" s="3">
        <v>1606</v>
      </c>
      <c r="K92" s="3" t="s">
        <v>190</v>
      </c>
      <c r="L92" s="3" t="s">
        <v>196</v>
      </c>
      <c r="M92" s="3" t="s">
        <v>202</v>
      </c>
      <c r="N92" s="3">
        <v>1606</v>
      </c>
      <c r="O92" s="3" t="s">
        <v>203</v>
      </c>
      <c r="P92" s="3">
        <v>0</v>
      </c>
      <c r="Q92" s="3">
        <v>6</v>
      </c>
      <c r="R92" s="3" t="s">
        <v>206</v>
      </c>
      <c r="S92" s="3">
        <v>1606</v>
      </c>
      <c r="T92" s="3" t="s">
        <v>221</v>
      </c>
      <c r="U92" s="3" t="s">
        <v>232</v>
      </c>
      <c r="V92" s="3" t="str">
        <f>IFERROR(_xlfn.XLOOKUP(SalesTbl[[#This Row],[Customer ID]], CustomerTbl[Customer ID], CustomerTbl[Customer Name]), "Not Found")</f>
        <v>Mason Collins</v>
      </c>
    </row>
    <row r="93" spans="1:22">
      <c r="A93" s="3" t="s">
        <v>112</v>
      </c>
      <c r="B93" s="4">
        <v>44978</v>
      </c>
      <c r="C93" s="3"/>
      <c r="D93" s="4">
        <v>44982</v>
      </c>
      <c r="E93" s="3" t="s">
        <v>128</v>
      </c>
      <c r="F93" s="3" t="s">
        <v>171</v>
      </c>
      <c r="G93" s="3" t="s">
        <v>185</v>
      </c>
      <c r="H93" s="3">
        <v>248</v>
      </c>
      <c r="I93" s="3">
        <v>5</v>
      </c>
      <c r="J93" s="3">
        <v>1240</v>
      </c>
      <c r="K93" s="3" t="s">
        <v>192</v>
      </c>
      <c r="L93" s="3" t="s">
        <v>195</v>
      </c>
      <c r="M93" s="3" t="s">
        <v>200</v>
      </c>
      <c r="N93" s="3">
        <v>1240</v>
      </c>
      <c r="O93" s="3" t="s">
        <v>203</v>
      </c>
      <c r="P93" s="3">
        <v>1</v>
      </c>
      <c r="Q93" s="3"/>
      <c r="R93" s="3" t="s">
        <v>204</v>
      </c>
      <c r="S93" s="3">
        <v>0</v>
      </c>
      <c r="T93" s="3" t="s">
        <v>215</v>
      </c>
      <c r="U93" s="3" t="s">
        <v>232</v>
      </c>
      <c r="V93" s="3" t="str">
        <f>IFERROR(_xlfn.XLOOKUP(SalesTbl[[#This Row],[Customer ID]], CustomerTbl[Customer ID], CustomerTbl[Customer Name]), "Not Found")</f>
        <v>Olivia Martinez</v>
      </c>
    </row>
    <row r="94" spans="1:22">
      <c r="A94" s="3" t="s">
        <v>113</v>
      </c>
      <c r="B94" s="4">
        <v>44976</v>
      </c>
      <c r="C94" s="4">
        <v>44978</v>
      </c>
      <c r="D94" s="3"/>
      <c r="E94" s="3" t="s">
        <v>161</v>
      </c>
      <c r="F94" s="3" t="s">
        <v>182</v>
      </c>
      <c r="G94" s="3" t="s">
        <v>186</v>
      </c>
      <c r="H94" s="3">
        <v>210</v>
      </c>
      <c r="I94" s="3">
        <v>3</v>
      </c>
      <c r="J94" s="3">
        <v>630</v>
      </c>
      <c r="K94" s="3" t="s">
        <v>190</v>
      </c>
      <c r="L94" s="3" t="s">
        <v>196</v>
      </c>
      <c r="M94" s="3" t="s">
        <v>198</v>
      </c>
      <c r="N94" s="3">
        <v>630</v>
      </c>
      <c r="O94" s="3" t="s">
        <v>203</v>
      </c>
      <c r="P94" s="3">
        <v>0</v>
      </c>
      <c r="Q94" s="3">
        <v>2</v>
      </c>
      <c r="R94" s="3" t="s">
        <v>205</v>
      </c>
      <c r="S94" s="3">
        <v>630</v>
      </c>
      <c r="T94" s="3" t="s">
        <v>226</v>
      </c>
      <c r="U94" s="3" t="s">
        <v>229</v>
      </c>
      <c r="V94" s="3" t="str">
        <f>IFERROR(_xlfn.XLOOKUP(SalesTbl[[#This Row],[Customer ID]], CustomerTbl[Customer ID], CustomerTbl[Customer Name]), "Not Found")</f>
        <v>Ethan Davis</v>
      </c>
    </row>
    <row r="95" spans="1:22">
      <c r="A95" s="3" t="s">
        <v>114</v>
      </c>
      <c r="B95" s="4">
        <v>45265</v>
      </c>
      <c r="C95" s="3"/>
      <c r="D95" s="4">
        <v>45272</v>
      </c>
      <c r="E95" s="3" t="s">
        <v>128</v>
      </c>
      <c r="F95" s="3" t="s">
        <v>184</v>
      </c>
      <c r="G95" s="3" t="s">
        <v>185</v>
      </c>
      <c r="H95" s="3">
        <v>62</v>
      </c>
      <c r="I95" s="3">
        <v>2</v>
      </c>
      <c r="J95" s="3">
        <v>124</v>
      </c>
      <c r="K95" s="3" t="s">
        <v>191</v>
      </c>
      <c r="L95" s="3" t="s">
        <v>195</v>
      </c>
      <c r="M95" s="3" t="s">
        <v>202</v>
      </c>
      <c r="N95" s="3">
        <v>124</v>
      </c>
      <c r="O95" s="3" t="s">
        <v>203</v>
      </c>
      <c r="P95" s="3">
        <v>1</v>
      </c>
      <c r="Q95" s="3"/>
      <c r="R95" s="3" t="s">
        <v>204</v>
      </c>
      <c r="S95" s="3">
        <v>0</v>
      </c>
      <c r="T95" s="3" t="s">
        <v>228</v>
      </c>
      <c r="U95" s="3" t="s">
        <v>230</v>
      </c>
      <c r="V95" s="3" t="str">
        <f>IFERROR(_xlfn.XLOOKUP(SalesTbl[[#This Row],[Customer ID]], CustomerTbl[Customer ID], CustomerTbl[Customer Name]), "Not Found")</f>
        <v>Olivia Martinez</v>
      </c>
    </row>
    <row r="96" spans="1:22">
      <c r="A96" s="3" t="s">
        <v>115</v>
      </c>
      <c r="B96" s="4">
        <v>45084</v>
      </c>
      <c r="C96" s="3"/>
      <c r="D96" s="4">
        <v>45089</v>
      </c>
      <c r="E96" s="3" t="s">
        <v>159</v>
      </c>
      <c r="F96" s="3" t="s">
        <v>180</v>
      </c>
      <c r="G96" s="3" t="s">
        <v>187</v>
      </c>
      <c r="H96" s="3">
        <v>11</v>
      </c>
      <c r="I96" s="3">
        <v>5</v>
      </c>
      <c r="J96" s="3">
        <v>55</v>
      </c>
      <c r="K96" s="3" t="s">
        <v>194</v>
      </c>
      <c r="L96" s="3" t="s">
        <v>195</v>
      </c>
      <c r="M96" s="3" t="s">
        <v>201</v>
      </c>
      <c r="N96" s="3">
        <v>55</v>
      </c>
      <c r="O96" s="3" t="s">
        <v>203</v>
      </c>
      <c r="P96" s="3">
        <v>1</v>
      </c>
      <c r="Q96" s="3"/>
      <c r="R96" s="3" t="s">
        <v>204</v>
      </c>
      <c r="S96" s="3">
        <v>0</v>
      </c>
      <c r="T96" s="3" t="s">
        <v>224</v>
      </c>
      <c r="U96" s="3" t="s">
        <v>233</v>
      </c>
      <c r="V96" s="3" t="str">
        <f>IFERROR(_xlfn.XLOOKUP(SalesTbl[[#This Row],[Customer ID]], CustomerTbl[Customer ID], CustomerTbl[Customer Name]), "Not Found")</f>
        <v>Lily Reed</v>
      </c>
    </row>
    <row r="97" spans="1:22">
      <c r="A97" s="3" t="s">
        <v>116</v>
      </c>
      <c r="B97" s="4">
        <v>45116</v>
      </c>
      <c r="C97" s="4">
        <v>45119</v>
      </c>
      <c r="D97" s="3"/>
      <c r="E97" s="3" t="s">
        <v>151</v>
      </c>
      <c r="F97" s="3" t="s">
        <v>175</v>
      </c>
      <c r="G97" s="3" t="s">
        <v>185</v>
      </c>
      <c r="H97" s="3">
        <v>21</v>
      </c>
      <c r="I97" s="3">
        <v>2</v>
      </c>
      <c r="J97" s="3">
        <v>42</v>
      </c>
      <c r="K97" s="3" t="s">
        <v>193</v>
      </c>
      <c r="L97" s="3" t="s">
        <v>196</v>
      </c>
      <c r="M97" s="3" t="s">
        <v>200</v>
      </c>
      <c r="N97" s="3">
        <v>42</v>
      </c>
      <c r="O97" s="3" t="s">
        <v>203</v>
      </c>
      <c r="P97" s="3">
        <v>0</v>
      </c>
      <c r="Q97" s="3">
        <v>3</v>
      </c>
      <c r="R97" s="3" t="s">
        <v>206</v>
      </c>
      <c r="S97" s="3">
        <v>42</v>
      </c>
      <c r="T97" s="3" t="s">
        <v>219</v>
      </c>
      <c r="U97" s="3" t="s">
        <v>233</v>
      </c>
      <c r="V97" s="3" t="str">
        <f>IFERROR(_xlfn.XLOOKUP(SalesTbl[[#This Row],[Customer ID]], CustomerTbl[Customer ID], CustomerTbl[Customer Name]), "Not Found")</f>
        <v>Emma King</v>
      </c>
    </row>
    <row r="98" spans="1:22">
      <c r="A98" s="3" t="s">
        <v>117</v>
      </c>
      <c r="B98" s="4">
        <v>45283</v>
      </c>
      <c r="C98" s="4">
        <v>45286</v>
      </c>
      <c r="D98" s="3"/>
      <c r="E98" s="3" t="s">
        <v>131</v>
      </c>
      <c r="F98" s="3" t="s">
        <v>164</v>
      </c>
      <c r="G98" s="3" t="s">
        <v>189</v>
      </c>
      <c r="H98" s="3">
        <v>95</v>
      </c>
      <c r="I98" s="3">
        <v>5</v>
      </c>
      <c r="J98" s="3">
        <v>475</v>
      </c>
      <c r="K98" s="3" t="s">
        <v>193</v>
      </c>
      <c r="L98" s="3" t="s">
        <v>196</v>
      </c>
      <c r="M98" s="3" t="s">
        <v>201</v>
      </c>
      <c r="N98" s="3">
        <v>475</v>
      </c>
      <c r="O98" s="3" t="s">
        <v>203</v>
      </c>
      <c r="P98" s="3">
        <v>0</v>
      </c>
      <c r="Q98" s="3">
        <v>3</v>
      </c>
      <c r="R98" s="3" t="s">
        <v>206</v>
      </c>
      <c r="S98" s="3">
        <v>475</v>
      </c>
      <c r="T98" s="3" t="s">
        <v>208</v>
      </c>
      <c r="U98" s="3" t="s">
        <v>230</v>
      </c>
      <c r="V98" s="3" t="str">
        <f>IFERROR(_xlfn.XLOOKUP(SalesTbl[[#This Row],[Customer ID]], CustomerTbl[Customer ID], CustomerTbl[Customer Name]), "Not Found")</f>
        <v>Charlotte Reed</v>
      </c>
    </row>
    <row r="99" spans="1:22">
      <c r="A99" s="3" t="s">
        <v>118</v>
      </c>
      <c r="B99" s="4">
        <v>45194</v>
      </c>
      <c r="C99" s="4">
        <v>45199</v>
      </c>
      <c r="D99" s="3"/>
      <c r="E99" s="3" t="s">
        <v>123</v>
      </c>
      <c r="F99" s="3" t="s">
        <v>182</v>
      </c>
      <c r="G99" s="3" t="s">
        <v>187</v>
      </c>
      <c r="H99" s="3">
        <v>215</v>
      </c>
      <c r="I99" s="3">
        <v>2</v>
      </c>
      <c r="J99" s="3">
        <v>430</v>
      </c>
      <c r="K99" s="3" t="s">
        <v>192</v>
      </c>
      <c r="L99" s="3" t="s">
        <v>196</v>
      </c>
      <c r="M99" s="3" t="s">
        <v>201</v>
      </c>
      <c r="N99" s="3">
        <v>430</v>
      </c>
      <c r="O99" s="3" t="s">
        <v>203</v>
      </c>
      <c r="P99" s="3">
        <v>0</v>
      </c>
      <c r="Q99" s="3">
        <v>5</v>
      </c>
      <c r="R99" s="3" t="s">
        <v>206</v>
      </c>
      <c r="S99" s="3">
        <v>430</v>
      </c>
      <c r="T99" s="3" t="s">
        <v>226</v>
      </c>
      <c r="U99" s="3" t="s">
        <v>229</v>
      </c>
      <c r="V99" s="3" t="str">
        <f>IFERROR(_xlfn.XLOOKUP(SalesTbl[[#This Row],[Customer ID]], CustomerTbl[Customer ID], CustomerTbl[Customer Name]), "Not Found")</f>
        <v>Grace Ward</v>
      </c>
    </row>
    <row r="100" spans="1:22">
      <c r="A100" s="3" t="s">
        <v>119</v>
      </c>
      <c r="B100" s="4">
        <v>44944</v>
      </c>
      <c r="C100" s="3"/>
      <c r="D100" s="4">
        <v>44950</v>
      </c>
      <c r="E100" s="3" t="s">
        <v>162</v>
      </c>
      <c r="F100" s="3" t="s">
        <v>169</v>
      </c>
      <c r="G100" s="3" t="s">
        <v>189</v>
      </c>
      <c r="H100" s="3">
        <v>43</v>
      </c>
      <c r="I100" s="3">
        <v>5</v>
      </c>
      <c r="J100" s="3">
        <v>215</v>
      </c>
      <c r="K100" s="3" t="s">
        <v>191</v>
      </c>
      <c r="L100" s="3" t="s">
        <v>195</v>
      </c>
      <c r="M100" s="3" t="s">
        <v>200</v>
      </c>
      <c r="N100" s="3">
        <v>215</v>
      </c>
      <c r="O100" s="3" t="s">
        <v>203</v>
      </c>
      <c r="P100" s="3">
        <v>1</v>
      </c>
      <c r="Q100" s="3"/>
      <c r="R100" s="3" t="s">
        <v>204</v>
      </c>
      <c r="S100" s="3">
        <v>0</v>
      </c>
      <c r="T100" s="3" t="s">
        <v>213</v>
      </c>
      <c r="U100" s="3" t="s">
        <v>231</v>
      </c>
      <c r="V100" s="3" t="str">
        <f>IFERROR(_xlfn.XLOOKUP(SalesTbl[[#This Row],[Customer ID]], CustomerTbl[Customer ID], CustomerTbl[Customer Name]), "Not Found")</f>
        <v>Lily Simmons</v>
      </c>
    </row>
    <row r="101" spans="1:22">
      <c r="A101" s="3" t="s">
        <v>120</v>
      </c>
      <c r="B101" s="4">
        <v>45012</v>
      </c>
      <c r="C101" s="3"/>
      <c r="D101" s="3"/>
      <c r="E101" s="3" t="s">
        <v>125</v>
      </c>
      <c r="F101" s="3" t="s">
        <v>178</v>
      </c>
      <c r="G101" s="3" t="s">
        <v>189</v>
      </c>
      <c r="H101" s="3">
        <v>42</v>
      </c>
      <c r="I101" s="3">
        <v>4</v>
      </c>
      <c r="J101" s="3">
        <v>168</v>
      </c>
      <c r="K101" s="3" t="s">
        <v>194</v>
      </c>
      <c r="L101" s="3" t="s">
        <v>197</v>
      </c>
      <c r="M101" s="3" t="s">
        <v>198</v>
      </c>
      <c r="N101" s="3">
        <v>168</v>
      </c>
      <c r="O101" s="3" t="s">
        <v>203</v>
      </c>
      <c r="P101" s="3">
        <v>0</v>
      </c>
      <c r="Q101" s="3"/>
      <c r="R101" s="3" t="s">
        <v>204</v>
      </c>
      <c r="S101" s="3">
        <v>0</v>
      </c>
      <c r="T101" s="3" t="s">
        <v>222</v>
      </c>
      <c r="U101" s="3" t="s">
        <v>230</v>
      </c>
      <c r="V101" s="3" t="str">
        <f>IFERROR(_xlfn.XLOOKUP(SalesTbl[[#This Row],[Customer ID]], CustomerTbl[Customer ID], CustomerTbl[Customer Name]), "Not Found")</f>
        <v>Jackson Allen</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workbookViewId="0">
      <selection sqref="A1:E1"/>
    </sheetView>
  </sheetViews>
  <sheetFormatPr defaultRowHeight="14.4"/>
  <cols>
    <col min="1" max="1" width="16.109375" customWidth="1"/>
    <col min="2" max="2" width="17.21875" customWidth="1"/>
    <col min="3" max="3" width="14.6640625" customWidth="1"/>
    <col min="4" max="4" width="13.109375" customWidth="1"/>
    <col min="5" max="5" width="52.109375" customWidth="1"/>
  </cols>
  <sheetData>
    <row r="1" spans="1:5">
      <c r="A1" s="2" t="s">
        <v>5</v>
      </c>
      <c r="B1" s="2" t="s">
        <v>19</v>
      </c>
      <c r="C1" s="2" t="s">
        <v>20</v>
      </c>
      <c r="D1" s="2" t="s">
        <v>234</v>
      </c>
      <c r="E1" s="2" t="s">
        <v>235</v>
      </c>
    </row>
    <row r="2" spans="1:5">
      <c r="A2" s="3" t="s">
        <v>177</v>
      </c>
      <c r="B2" s="3" t="s">
        <v>221</v>
      </c>
      <c r="C2" s="3" t="s">
        <v>232</v>
      </c>
      <c r="D2" s="3">
        <v>749</v>
      </c>
      <c r="E2" s="3" t="s">
        <v>236</v>
      </c>
    </row>
    <row r="3" spans="1:5">
      <c r="A3" s="3" t="s">
        <v>178</v>
      </c>
      <c r="B3" s="3" t="s">
        <v>222</v>
      </c>
      <c r="C3" s="3" t="s">
        <v>230</v>
      </c>
      <c r="D3" s="3">
        <v>39</v>
      </c>
      <c r="E3" s="3" t="s">
        <v>237</v>
      </c>
    </row>
    <row r="4" spans="1:5">
      <c r="A4" s="3" t="s">
        <v>170</v>
      </c>
      <c r="B4" s="3" t="s">
        <v>214</v>
      </c>
      <c r="C4" s="3" t="s">
        <v>229</v>
      </c>
      <c r="D4" s="3">
        <v>129</v>
      </c>
      <c r="E4" s="3" t="s">
        <v>238</v>
      </c>
    </row>
    <row r="5" spans="1:5">
      <c r="A5" s="3" t="s">
        <v>184</v>
      </c>
      <c r="B5" s="3" t="s">
        <v>228</v>
      </c>
      <c r="C5" s="3" t="s">
        <v>230</v>
      </c>
      <c r="D5" s="3">
        <v>59</v>
      </c>
      <c r="E5" s="3" t="s">
        <v>239</v>
      </c>
    </row>
    <row r="6" spans="1:5">
      <c r="A6" s="3" t="s">
        <v>174</v>
      </c>
      <c r="B6" s="3" t="s">
        <v>218</v>
      </c>
      <c r="C6" s="3" t="s">
        <v>231</v>
      </c>
      <c r="D6" s="3">
        <v>25</v>
      </c>
      <c r="E6" s="3" t="s">
        <v>240</v>
      </c>
    </row>
    <row r="7" spans="1:5">
      <c r="A7" s="3" t="s">
        <v>172</v>
      </c>
      <c r="B7" s="3" t="s">
        <v>216</v>
      </c>
      <c r="C7" s="3" t="s">
        <v>231</v>
      </c>
      <c r="D7" s="3">
        <v>89</v>
      </c>
      <c r="E7" s="3" t="s">
        <v>241</v>
      </c>
    </row>
    <row r="8" spans="1:5">
      <c r="A8" s="3" t="s">
        <v>183</v>
      </c>
      <c r="B8" s="3" t="s">
        <v>227</v>
      </c>
      <c r="C8" s="3" t="s">
        <v>230</v>
      </c>
      <c r="D8" s="3">
        <v>29</v>
      </c>
      <c r="E8" s="3" t="s">
        <v>242</v>
      </c>
    </row>
    <row r="9" spans="1:5">
      <c r="A9" s="3" t="s">
        <v>176</v>
      </c>
      <c r="B9" s="3" t="s">
        <v>220</v>
      </c>
      <c r="C9" s="3" t="s">
        <v>233</v>
      </c>
      <c r="D9" s="3">
        <v>65</v>
      </c>
      <c r="E9" s="3" t="s">
        <v>243</v>
      </c>
    </row>
    <row r="10" spans="1:5">
      <c r="A10" s="3" t="s">
        <v>180</v>
      </c>
      <c r="B10" s="3" t="s">
        <v>224</v>
      </c>
      <c r="C10" s="3" t="s">
        <v>233</v>
      </c>
      <c r="D10" s="3">
        <v>10</v>
      </c>
      <c r="E10" s="3" t="s">
        <v>244</v>
      </c>
    </row>
    <row r="11" spans="1:5">
      <c r="A11" s="3" t="s">
        <v>166</v>
      </c>
      <c r="B11" s="3" t="s">
        <v>210</v>
      </c>
      <c r="C11" s="3" t="s">
        <v>231</v>
      </c>
      <c r="D11" s="3">
        <v>55</v>
      </c>
      <c r="E11" s="3" t="s">
        <v>245</v>
      </c>
    </row>
    <row r="12" spans="1:5">
      <c r="A12" s="3" t="s">
        <v>181</v>
      </c>
      <c r="B12" s="3" t="s">
        <v>225</v>
      </c>
      <c r="C12" s="3" t="s">
        <v>232</v>
      </c>
      <c r="D12" s="3">
        <v>159</v>
      </c>
      <c r="E12" s="3" t="s">
        <v>246</v>
      </c>
    </row>
    <row r="13" spans="1:5">
      <c r="A13" s="3" t="s">
        <v>163</v>
      </c>
      <c r="B13" s="3" t="s">
        <v>207</v>
      </c>
      <c r="C13" s="3" t="s">
        <v>229</v>
      </c>
      <c r="D13" s="3">
        <v>42</v>
      </c>
      <c r="E13" s="3" t="s">
        <v>247</v>
      </c>
    </row>
    <row r="14" spans="1:5">
      <c r="A14" s="3" t="s">
        <v>165</v>
      </c>
      <c r="B14" s="3" t="s">
        <v>209</v>
      </c>
      <c r="C14" s="3" t="s">
        <v>229</v>
      </c>
      <c r="D14" s="3">
        <v>185</v>
      </c>
      <c r="E14" s="3" t="s">
        <v>248</v>
      </c>
    </row>
    <row r="15" spans="1:5">
      <c r="A15" s="3" t="s">
        <v>171</v>
      </c>
      <c r="B15" s="3" t="s">
        <v>215</v>
      </c>
      <c r="C15" s="3" t="s">
        <v>232</v>
      </c>
      <c r="D15" s="3">
        <v>229</v>
      </c>
      <c r="E15" s="3" t="s">
        <v>249</v>
      </c>
    </row>
    <row r="16" spans="1:5">
      <c r="A16" s="3" t="s">
        <v>175</v>
      </c>
      <c r="B16" s="3" t="s">
        <v>219</v>
      </c>
      <c r="C16" s="3" t="s">
        <v>233</v>
      </c>
      <c r="D16" s="3">
        <v>20</v>
      </c>
      <c r="E16" s="3" t="s">
        <v>250</v>
      </c>
    </row>
    <row r="17" spans="1:5">
      <c r="A17" s="3" t="s">
        <v>182</v>
      </c>
      <c r="B17" s="3" t="s">
        <v>226</v>
      </c>
      <c r="C17" s="3" t="s">
        <v>229</v>
      </c>
      <c r="D17" s="3">
        <v>199</v>
      </c>
      <c r="E17" s="3" t="s">
        <v>251</v>
      </c>
    </row>
    <row r="18" spans="1:5">
      <c r="A18" s="3" t="s">
        <v>173</v>
      </c>
      <c r="B18" s="3" t="s">
        <v>217</v>
      </c>
      <c r="C18" s="3" t="s">
        <v>232</v>
      </c>
      <c r="D18" s="3">
        <v>69</v>
      </c>
      <c r="E18" s="3" t="s">
        <v>252</v>
      </c>
    </row>
    <row r="19" spans="1:5">
      <c r="A19" s="3" t="s">
        <v>164</v>
      </c>
      <c r="B19" s="3" t="s">
        <v>208</v>
      </c>
      <c r="C19" s="3" t="s">
        <v>230</v>
      </c>
      <c r="D19" s="3">
        <v>89</v>
      </c>
      <c r="E19" s="3" t="s">
        <v>253</v>
      </c>
    </row>
    <row r="20" spans="1:5">
      <c r="A20" s="3" t="s">
        <v>169</v>
      </c>
      <c r="B20" s="3" t="s">
        <v>213</v>
      </c>
      <c r="C20" s="3" t="s">
        <v>231</v>
      </c>
      <c r="D20" s="3">
        <v>40</v>
      </c>
      <c r="E20" s="3" t="s">
        <v>254</v>
      </c>
    </row>
    <row r="21" spans="1:5">
      <c r="A21" s="3" t="s">
        <v>167</v>
      </c>
      <c r="B21" s="3" t="s">
        <v>211</v>
      </c>
      <c r="C21" s="3" t="s">
        <v>232</v>
      </c>
      <c r="D21" s="3">
        <v>99</v>
      </c>
      <c r="E21" s="3" t="s">
        <v>255</v>
      </c>
    </row>
    <row r="22" spans="1:5">
      <c r="A22" s="3" t="s">
        <v>168</v>
      </c>
      <c r="B22" s="3" t="s">
        <v>212</v>
      </c>
      <c r="C22" s="3" t="s">
        <v>229</v>
      </c>
      <c r="D22" s="3">
        <v>34</v>
      </c>
      <c r="E22" s="3" t="s">
        <v>256</v>
      </c>
    </row>
    <row r="23" spans="1:5">
      <c r="A23" s="3" t="s">
        <v>179</v>
      </c>
      <c r="B23" s="3" t="s">
        <v>223</v>
      </c>
      <c r="C23" s="3" t="s">
        <v>231</v>
      </c>
      <c r="D23" s="3">
        <v>60</v>
      </c>
      <c r="E23" s="3" t="s">
        <v>257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sqref="A1:B6"/>
    </sheetView>
  </sheetViews>
  <sheetFormatPr defaultRowHeight="14.4"/>
  <cols>
    <col min="2" max="2" width="12.88671875" customWidth="1"/>
  </cols>
  <sheetData>
    <row r="1" spans="1:2">
      <c r="A1" s="2" t="s">
        <v>6</v>
      </c>
      <c r="B1" s="2" t="s">
        <v>258</v>
      </c>
    </row>
    <row r="2" spans="1:2">
      <c r="A2" t="s">
        <v>188</v>
      </c>
      <c r="B2">
        <v>97500</v>
      </c>
    </row>
    <row r="3" spans="1:2">
      <c r="A3" t="s">
        <v>186</v>
      </c>
      <c r="B3">
        <v>50500</v>
      </c>
    </row>
    <row r="4" spans="1:2">
      <c r="A4" t="s">
        <v>185</v>
      </c>
      <c r="B4">
        <v>105000</v>
      </c>
    </row>
    <row r="5" spans="1:2">
      <c r="A5" t="s">
        <v>187</v>
      </c>
      <c r="B5">
        <v>91500</v>
      </c>
    </row>
    <row r="6" spans="1:2">
      <c r="A6" t="s">
        <v>189</v>
      </c>
      <c r="B6">
        <v>90750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0"/>
  <sheetViews>
    <sheetView workbookViewId="0">
      <selection activeCell="G4" sqref="G4"/>
    </sheetView>
  </sheetViews>
  <sheetFormatPr defaultRowHeight="14.4"/>
  <cols>
    <col min="1" max="1" width="13.21875" customWidth="1"/>
    <col min="2" max="2" width="16.44140625" customWidth="1"/>
    <col min="3" max="3" width="15.5546875" customWidth="1"/>
    <col min="4" max="4" width="16.109375" customWidth="1"/>
    <col min="5" max="5" width="15" customWidth="1"/>
  </cols>
  <sheetData>
    <row r="1" spans="1:5">
      <c r="A1" s="2" t="s">
        <v>4</v>
      </c>
      <c r="B1" s="2" t="s">
        <v>259</v>
      </c>
      <c r="C1" s="2" t="s">
        <v>260</v>
      </c>
      <c r="D1" s="2" t="s">
        <v>261</v>
      </c>
      <c r="E1" s="2" t="s">
        <v>262</v>
      </c>
    </row>
    <row r="2" spans="1:5">
      <c r="A2" s="3" t="s">
        <v>148</v>
      </c>
      <c r="B2" s="3" t="s">
        <v>271</v>
      </c>
      <c r="C2" s="3" t="s">
        <v>304</v>
      </c>
      <c r="D2" s="3" t="s">
        <v>307</v>
      </c>
      <c r="E2" s="3" t="s">
        <v>307</v>
      </c>
    </row>
    <row r="3" spans="1:5">
      <c r="A3" s="3" t="s">
        <v>263</v>
      </c>
      <c r="B3" s="3" t="s">
        <v>272</v>
      </c>
      <c r="C3" s="3" t="s">
        <v>305</v>
      </c>
      <c r="D3" s="3" t="s">
        <v>308</v>
      </c>
      <c r="E3" s="3" t="s">
        <v>315</v>
      </c>
    </row>
    <row r="4" spans="1:5">
      <c r="A4" s="3" t="s">
        <v>152</v>
      </c>
      <c r="B4" s="3" t="s">
        <v>273</v>
      </c>
      <c r="C4" s="3" t="s">
        <v>305</v>
      </c>
      <c r="D4" s="3" t="s">
        <v>309</v>
      </c>
      <c r="E4" s="3" t="s">
        <v>316</v>
      </c>
    </row>
    <row r="5" spans="1:5">
      <c r="A5" s="3" t="s">
        <v>155</v>
      </c>
      <c r="B5" s="3" t="s">
        <v>274</v>
      </c>
      <c r="C5" s="3" t="s">
        <v>305</v>
      </c>
      <c r="D5" s="3" t="s">
        <v>310</v>
      </c>
      <c r="E5" s="3" t="s">
        <v>317</v>
      </c>
    </row>
    <row r="6" spans="1:5">
      <c r="A6" s="3" t="s">
        <v>264</v>
      </c>
      <c r="B6" s="3" t="s">
        <v>275</v>
      </c>
      <c r="C6" s="3" t="s">
        <v>305</v>
      </c>
      <c r="D6" s="3" t="s">
        <v>308</v>
      </c>
      <c r="E6" s="3" t="s">
        <v>315</v>
      </c>
    </row>
    <row r="7" spans="1:5">
      <c r="A7" s="3" t="s">
        <v>147</v>
      </c>
      <c r="B7" s="3" t="s">
        <v>276</v>
      </c>
      <c r="C7" s="3" t="s">
        <v>305</v>
      </c>
      <c r="D7" s="3" t="s">
        <v>311</v>
      </c>
      <c r="E7" s="3" t="s">
        <v>318</v>
      </c>
    </row>
    <row r="8" spans="1:5">
      <c r="A8" s="3" t="s">
        <v>141</v>
      </c>
      <c r="B8" s="3" t="s">
        <v>277</v>
      </c>
      <c r="C8" s="3" t="s">
        <v>305</v>
      </c>
      <c r="D8" s="3" t="s">
        <v>310</v>
      </c>
      <c r="E8" s="3" t="s">
        <v>317</v>
      </c>
    </row>
    <row r="9" spans="1:5">
      <c r="A9" s="3" t="s">
        <v>142</v>
      </c>
      <c r="B9" s="3" t="s">
        <v>278</v>
      </c>
      <c r="C9" s="3" t="s">
        <v>304</v>
      </c>
      <c r="D9" s="3" t="s">
        <v>312</v>
      </c>
      <c r="E9" s="3" t="s">
        <v>316</v>
      </c>
    </row>
    <row r="10" spans="1:5">
      <c r="A10" s="3" t="s">
        <v>125</v>
      </c>
      <c r="B10" s="3" t="s">
        <v>279</v>
      </c>
      <c r="C10" s="3" t="s">
        <v>304</v>
      </c>
      <c r="D10" s="3" t="s">
        <v>308</v>
      </c>
      <c r="E10" s="3" t="s">
        <v>315</v>
      </c>
    </row>
    <row r="11" spans="1:5">
      <c r="A11" s="3" t="s">
        <v>265</v>
      </c>
      <c r="B11" s="3" t="s">
        <v>280</v>
      </c>
      <c r="C11" s="3" t="s">
        <v>305</v>
      </c>
      <c r="D11" s="3" t="s">
        <v>311</v>
      </c>
      <c r="E11" s="3" t="s">
        <v>318</v>
      </c>
    </row>
    <row r="12" spans="1:5">
      <c r="A12" s="3" t="s">
        <v>134</v>
      </c>
      <c r="B12" s="3" t="s">
        <v>281</v>
      </c>
      <c r="C12" s="3" t="s">
        <v>304</v>
      </c>
      <c r="D12" s="3" t="s">
        <v>313</v>
      </c>
      <c r="E12" s="3" t="s">
        <v>319</v>
      </c>
    </row>
    <row r="13" spans="1:5">
      <c r="A13" s="3" t="s">
        <v>266</v>
      </c>
      <c r="B13" s="3" t="s">
        <v>271</v>
      </c>
      <c r="C13" s="3" t="s">
        <v>306</v>
      </c>
      <c r="D13" s="3" t="s">
        <v>314</v>
      </c>
      <c r="E13" s="3" t="s">
        <v>320</v>
      </c>
    </row>
    <row r="14" spans="1:5">
      <c r="A14" s="3" t="s">
        <v>128</v>
      </c>
      <c r="B14" s="3" t="s">
        <v>275</v>
      </c>
      <c r="C14" s="3" t="s">
        <v>305</v>
      </c>
      <c r="D14" s="3" t="s">
        <v>308</v>
      </c>
      <c r="E14" s="3" t="s">
        <v>315</v>
      </c>
    </row>
    <row r="15" spans="1:5">
      <c r="A15" s="3" t="s">
        <v>143</v>
      </c>
      <c r="B15" s="3" t="s">
        <v>278</v>
      </c>
      <c r="C15" s="3" t="s">
        <v>306</v>
      </c>
      <c r="D15" s="3" t="s">
        <v>311</v>
      </c>
      <c r="E15" s="3" t="s">
        <v>318</v>
      </c>
    </row>
    <row r="16" spans="1:5">
      <c r="A16" s="3" t="s">
        <v>158</v>
      </c>
      <c r="B16" s="3" t="s">
        <v>282</v>
      </c>
      <c r="C16" s="3" t="s">
        <v>306</v>
      </c>
      <c r="D16" s="3" t="s">
        <v>314</v>
      </c>
      <c r="E16" s="3" t="s">
        <v>320</v>
      </c>
    </row>
    <row r="17" spans="1:5">
      <c r="A17" s="3" t="s">
        <v>137</v>
      </c>
      <c r="B17" s="3" t="s">
        <v>283</v>
      </c>
      <c r="C17" s="3" t="s">
        <v>305</v>
      </c>
      <c r="D17" s="3" t="s">
        <v>314</v>
      </c>
      <c r="E17" s="3" t="s">
        <v>320</v>
      </c>
    </row>
    <row r="18" spans="1:5">
      <c r="A18" s="3" t="s">
        <v>151</v>
      </c>
      <c r="B18" s="3" t="s">
        <v>284</v>
      </c>
      <c r="C18" s="3" t="s">
        <v>304</v>
      </c>
      <c r="D18" s="3" t="s">
        <v>309</v>
      </c>
      <c r="E18" s="3" t="s">
        <v>316</v>
      </c>
    </row>
    <row r="19" spans="1:5">
      <c r="A19" s="3" t="s">
        <v>140</v>
      </c>
      <c r="B19" s="3" t="s">
        <v>285</v>
      </c>
      <c r="C19" s="3" t="s">
        <v>306</v>
      </c>
      <c r="D19" s="3" t="s">
        <v>313</v>
      </c>
      <c r="E19" s="3" t="s">
        <v>319</v>
      </c>
    </row>
    <row r="20" spans="1:5">
      <c r="A20" s="3" t="s">
        <v>127</v>
      </c>
      <c r="B20" s="3" t="s">
        <v>276</v>
      </c>
      <c r="C20" s="3" t="s">
        <v>305</v>
      </c>
      <c r="D20" s="3" t="s">
        <v>308</v>
      </c>
      <c r="E20" s="3" t="s">
        <v>315</v>
      </c>
    </row>
    <row r="21" spans="1:5">
      <c r="A21" s="3" t="s">
        <v>267</v>
      </c>
      <c r="B21" s="3" t="s">
        <v>286</v>
      </c>
      <c r="C21" s="3" t="s">
        <v>306</v>
      </c>
      <c r="D21" s="3" t="s">
        <v>311</v>
      </c>
      <c r="E21" s="3" t="s">
        <v>318</v>
      </c>
    </row>
    <row r="22" spans="1:5">
      <c r="A22" s="3" t="s">
        <v>121</v>
      </c>
      <c r="B22" s="3" t="s">
        <v>287</v>
      </c>
      <c r="C22" s="3" t="s">
        <v>306</v>
      </c>
      <c r="D22" s="3" t="s">
        <v>309</v>
      </c>
      <c r="E22" s="3" t="s">
        <v>316</v>
      </c>
    </row>
    <row r="23" spans="1:5">
      <c r="A23" s="3" t="s">
        <v>154</v>
      </c>
      <c r="B23" s="3" t="s">
        <v>283</v>
      </c>
      <c r="C23" s="3" t="s">
        <v>306</v>
      </c>
      <c r="D23" s="3" t="s">
        <v>313</v>
      </c>
      <c r="E23" s="3" t="s">
        <v>319</v>
      </c>
    </row>
    <row r="24" spans="1:5">
      <c r="A24" s="3" t="s">
        <v>131</v>
      </c>
      <c r="B24" s="3" t="s">
        <v>288</v>
      </c>
      <c r="C24" s="3" t="s">
        <v>306</v>
      </c>
      <c r="D24" s="3" t="s">
        <v>309</v>
      </c>
      <c r="E24" s="3" t="s">
        <v>316</v>
      </c>
    </row>
    <row r="25" spans="1:5">
      <c r="A25" s="3" t="s">
        <v>146</v>
      </c>
      <c r="B25" s="3" t="s">
        <v>289</v>
      </c>
      <c r="C25" s="3" t="s">
        <v>304</v>
      </c>
      <c r="D25" s="3" t="s">
        <v>313</v>
      </c>
      <c r="E25" s="3" t="s">
        <v>319</v>
      </c>
    </row>
    <row r="26" spans="1:5">
      <c r="A26" s="3" t="s">
        <v>136</v>
      </c>
      <c r="B26" s="3" t="s">
        <v>284</v>
      </c>
      <c r="C26" s="3" t="s">
        <v>306</v>
      </c>
      <c r="D26" s="3" t="s">
        <v>313</v>
      </c>
      <c r="E26" s="3" t="s">
        <v>319</v>
      </c>
    </row>
    <row r="27" spans="1:5">
      <c r="A27" s="3" t="s">
        <v>150</v>
      </c>
      <c r="B27" s="3" t="s">
        <v>287</v>
      </c>
      <c r="C27" s="3" t="s">
        <v>306</v>
      </c>
      <c r="D27" s="3" t="s">
        <v>308</v>
      </c>
      <c r="E27" s="3" t="s">
        <v>315</v>
      </c>
    </row>
    <row r="28" spans="1:5">
      <c r="A28" s="3" t="s">
        <v>124</v>
      </c>
      <c r="B28" s="3" t="s">
        <v>290</v>
      </c>
      <c r="C28" s="3" t="s">
        <v>306</v>
      </c>
      <c r="D28" s="3" t="s">
        <v>308</v>
      </c>
      <c r="E28" s="3" t="s">
        <v>315</v>
      </c>
    </row>
    <row r="29" spans="1:5">
      <c r="A29" s="3" t="s">
        <v>138</v>
      </c>
      <c r="B29" s="3" t="s">
        <v>291</v>
      </c>
      <c r="C29" s="3" t="s">
        <v>304</v>
      </c>
      <c r="D29" s="3" t="s">
        <v>309</v>
      </c>
      <c r="E29" s="3" t="s">
        <v>316</v>
      </c>
    </row>
    <row r="30" spans="1:5">
      <c r="A30" s="3" t="s">
        <v>122</v>
      </c>
      <c r="B30" s="3" t="s">
        <v>282</v>
      </c>
      <c r="C30" s="3" t="s">
        <v>306</v>
      </c>
      <c r="D30" s="3" t="s">
        <v>313</v>
      </c>
      <c r="E30" s="3" t="s">
        <v>319</v>
      </c>
    </row>
    <row r="31" spans="1:5">
      <c r="A31" s="3" t="s">
        <v>268</v>
      </c>
      <c r="B31" s="3" t="s">
        <v>284</v>
      </c>
      <c r="C31" s="3" t="s">
        <v>306</v>
      </c>
      <c r="D31" s="3" t="s">
        <v>308</v>
      </c>
      <c r="E31" s="3" t="s">
        <v>315</v>
      </c>
    </row>
    <row r="32" spans="1:5">
      <c r="A32" s="3" t="s">
        <v>160</v>
      </c>
      <c r="B32" s="3" t="s">
        <v>292</v>
      </c>
      <c r="C32" s="3" t="s">
        <v>304</v>
      </c>
      <c r="D32" s="3" t="s">
        <v>308</v>
      </c>
      <c r="E32" s="3" t="s">
        <v>315</v>
      </c>
    </row>
    <row r="33" spans="1:5">
      <c r="A33" s="3" t="s">
        <v>145</v>
      </c>
      <c r="B33" s="3" t="s">
        <v>293</v>
      </c>
      <c r="C33" s="3" t="s">
        <v>304</v>
      </c>
      <c r="D33" s="3" t="s">
        <v>309</v>
      </c>
      <c r="E33" s="3" t="s">
        <v>316</v>
      </c>
    </row>
    <row r="34" spans="1:5">
      <c r="A34" s="3" t="s">
        <v>132</v>
      </c>
      <c r="B34" s="3" t="s">
        <v>294</v>
      </c>
      <c r="C34" s="3" t="s">
        <v>304</v>
      </c>
      <c r="D34" s="3" t="s">
        <v>314</v>
      </c>
      <c r="E34" s="3" t="s">
        <v>320</v>
      </c>
    </row>
    <row r="35" spans="1:5">
      <c r="A35" s="3" t="s">
        <v>162</v>
      </c>
      <c r="B35" s="3" t="s">
        <v>295</v>
      </c>
      <c r="C35" s="3" t="s">
        <v>306</v>
      </c>
      <c r="D35" s="3" t="s">
        <v>314</v>
      </c>
      <c r="E35" s="3" t="s">
        <v>320</v>
      </c>
    </row>
    <row r="36" spans="1:5">
      <c r="A36" s="3" t="s">
        <v>153</v>
      </c>
      <c r="B36" s="3" t="s">
        <v>296</v>
      </c>
      <c r="C36" s="3" t="s">
        <v>304</v>
      </c>
      <c r="D36" s="3" t="s">
        <v>313</v>
      </c>
      <c r="E36" s="3" t="s">
        <v>319</v>
      </c>
    </row>
    <row r="37" spans="1:5">
      <c r="A37" s="3" t="s">
        <v>161</v>
      </c>
      <c r="B37" s="3" t="s">
        <v>273</v>
      </c>
      <c r="C37" s="3" t="s">
        <v>304</v>
      </c>
      <c r="D37" s="3" t="s">
        <v>311</v>
      </c>
      <c r="E37" s="3" t="s">
        <v>318</v>
      </c>
    </row>
    <row r="38" spans="1:5">
      <c r="A38" s="3" t="s">
        <v>144</v>
      </c>
      <c r="B38" s="3" t="s">
        <v>272</v>
      </c>
      <c r="C38" s="3" t="s">
        <v>306</v>
      </c>
      <c r="D38" s="3" t="s">
        <v>313</v>
      </c>
      <c r="E38" s="3" t="s">
        <v>319</v>
      </c>
    </row>
    <row r="39" spans="1:5">
      <c r="A39" s="3" t="s">
        <v>269</v>
      </c>
      <c r="B39" s="3" t="s">
        <v>297</v>
      </c>
      <c r="C39" s="3" t="s">
        <v>304</v>
      </c>
      <c r="D39" s="3" t="s">
        <v>309</v>
      </c>
      <c r="E39" s="3" t="s">
        <v>316</v>
      </c>
    </row>
    <row r="40" spans="1:5">
      <c r="A40" s="3" t="s">
        <v>149</v>
      </c>
      <c r="B40" s="3" t="s">
        <v>298</v>
      </c>
      <c r="C40" s="3" t="s">
        <v>306</v>
      </c>
      <c r="D40" s="3" t="s">
        <v>309</v>
      </c>
      <c r="E40" s="3" t="s">
        <v>316</v>
      </c>
    </row>
    <row r="41" spans="1:5">
      <c r="A41" s="3" t="s">
        <v>139</v>
      </c>
      <c r="B41" s="3" t="s">
        <v>299</v>
      </c>
      <c r="C41" s="3" t="s">
        <v>305</v>
      </c>
      <c r="D41" s="3" t="s">
        <v>309</v>
      </c>
      <c r="E41" s="3" t="s">
        <v>316</v>
      </c>
    </row>
    <row r="42" spans="1:5">
      <c r="A42" s="3" t="s">
        <v>135</v>
      </c>
      <c r="B42" s="3" t="s">
        <v>300</v>
      </c>
      <c r="C42" s="3" t="s">
        <v>304</v>
      </c>
      <c r="D42" s="3" t="s">
        <v>309</v>
      </c>
      <c r="E42" s="3" t="s">
        <v>316</v>
      </c>
    </row>
    <row r="43" spans="1:5">
      <c r="A43" s="3" t="s">
        <v>126</v>
      </c>
      <c r="B43" s="3" t="s">
        <v>274</v>
      </c>
      <c r="C43" s="3" t="s">
        <v>305</v>
      </c>
      <c r="D43" s="3" t="s">
        <v>309</v>
      </c>
      <c r="E43" s="3" t="s">
        <v>316</v>
      </c>
    </row>
    <row r="44" spans="1:5">
      <c r="A44" s="3" t="s">
        <v>159</v>
      </c>
      <c r="B44" s="3" t="s">
        <v>301</v>
      </c>
      <c r="C44" s="3" t="s">
        <v>306</v>
      </c>
      <c r="D44" s="3" t="s">
        <v>308</v>
      </c>
      <c r="E44" s="3" t="s">
        <v>315</v>
      </c>
    </row>
    <row r="45" spans="1:5">
      <c r="A45" s="3" t="s">
        <v>123</v>
      </c>
      <c r="B45" s="3" t="s">
        <v>302</v>
      </c>
      <c r="C45" s="3" t="s">
        <v>304</v>
      </c>
      <c r="D45" s="3" t="s">
        <v>314</v>
      </c>
      <c r="E45" s="3" t="s">
        <v>320</v>
      </c>
    </row>
    <row r="46" spans="1:5">
      <c r="A46" s="3" t="s">
        <v>130</v>
      </c>
      <c r="B46" s="3" t="s">
        <v>272</v>
      </c>
      <c r="C46" s="3" t="s">
        <v>306</v>
      </c>
      <c r="D46" s="3" t="s">
        <v>309</v>
      </c>
      <c r="E46" s="3" t="s">
        <v>316</v>
      </c>
    </row>
    <row r="47" spans="1:5">
      <c r="A47" s="3" t="s">
        <v>129</v>
      </c>
      <c r="B47" s="3" t="s">
        <v>272</v>
      </c>
      <c r="C47" s="3" t="s">
        <v>305</v>
      </c>
      <c r="D47" s="3" t="s">
        <v>311</v>
      </c>
      <c r="E47" s="3" t="s">
        <v>318</v>
      </c>
    </row>
    <row r="48" spans="1:5">
      <c r="A48" s="3" t="s">
        <v>133</v>
      </c>
      <c r="B48" s="3" t="s">
        <v>289</v>
      </c>
      <c r="C48" s="3" t="s">
        <v>306</v>
      </c>
      <c r="D48" s="3" t="s">
        <v>311</v>
      </c>
      <c r="E48" s="3" t="s">
        <v>318</v>
      </c>
    </row>
    <row r="49" spans="1:5">
      <c r="A49" s="3" t="s">
        <v>156</v>
      </c>
      <c r="B49" s="3" t="s">
        <v>274</v>
      </c>
      <c r="C49" s="3" t="s">
        <v>304</v>
      </c>
      <c r="D49" s="3" t="s">
        <v>311</v>
      </c>
      <c r="E49" s="3" t="s">
        <v>318</v>
      </c>
    </row>
    <row r="50" spans="1:5">
      <c r="A50" s="3" t="s">
        <v>270</v>
      </c>
      <c r="B50" s="3" t="s">
        <v>303</v>
      </c>
      <c r="C50" s="3" t="s">
        <v>304</v>
      </c>
      <c r="D50" s="3" t="s">
        <v>311</v>
      </c>
      <c r="E50" s="3" t="s">
        <v>318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workbookViewId="0">
      <selection sqref="A1:F6"/>
    </sheetView>
  </sheetViews>
  <sheetFormatPr defaultRowHeight="14.4"/>
  <cols>
    <col min="3" max="3" width="11.88671875" customWidth="1"/>
    <col min="4" max="4" width="9.33203125" customWidth="1"/>
  </cols>
  <sheetData>
    <row r="1" spans="1:6">
      <c r="A1" s="2" t="s">
        <v>6</v>
      </c>
      <c r="B1" s="2" t="s">
        <v>233</v>
      </c>
      <c r="C1" s="2" t="s">
        <v>232</v>
      </c>
      <c r="D1" s="2" t="s">
        <v>231</v>
      </c>
      <c r="E1" s="2" t="s">
        <v>229</v>
      </c>
      <c r="F1" s="2" t="s">
        <v>230</v>
      </c>
    </row>
    <row r="2" spans="1:6">
      <c r="A2" t="s">
        <v>188</v>
      </c>
      <c r="B2">
        <v>0</v>
      </c>
      <c r="C2">
        <v>1606</v>
      </c>
      <c r="D2">
        <v>26</v>
      </c>
      <c r="E2">
        <v>1378</v>
      </c>
      <c r="F2">
        <v>0</v>
      </c>
    </row>
    <row r="3" spans="1:6">
      <c r="A3" t="s">
        <v>186</v>
      </c>
      <c r="B3">
        <v>63</v>
      </c>
      <c r="C3">
        <v>0</v>
      </c>
      <c r="D3">
        <v>221</v>
      </c>
      <c r="E3">
        <v>630</v>
      </c>
      <c r="F3">
        <v>928</v>
      </c>
    </row>
    <row r="4" spans="1:6">
      <c r="A4" t="s">
        <v>185</v>
      </c>
      <c r="B4">
        <v>64</v>
      </c>
      <c r="C4">
        <v>3656</v>
      </c>
      <c r="D4">
        <v>231</v>
      </c>
      <c r="E4">
        <v>0</v>
      </c>
      <c r="F4">
        <v>124</v>
      </c>
    </row>
    <row r="5" spans="1:6">
      <c r="A5" t="s">
        <v>187</v>
      </c>
      <c r="B5">
        <v>0</v>
      </c>
      <c r="C5">
        <v>172</v>
      </c>
      <c r="D5">
        <v>418</v>
      </c>
      <c r="E5">
        <v>430</v>
      </c>
      <c r="F5">
        <v>43</v>
      </c>
    </row>
    <row r="6" spans="1:6">
      <c r="A6" t="s">
        <v>189</v>
      </c>
      <c r="B6">
        <v>0</v>
      </c>
      <c r="C6">
        <v>692</v>
      </c>
      <c r="D6">
        <v>480</v>
      </c>
      <c r="E6">
        <v>1765</v>
      </c>
      <c r="F6">
        <v>729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election activeCell="B1" sqref="B1"/>
    </sheetView>
  </sheetViews>
  <sheetFormatPr defaultRowHeight="14.4"/>
  <cols>
    <col min="1" max="1" width="15.33203125" customWidth="1"/>
  </cols>
  <sheetData>
    <row r="1" spans="1:2">
      <c r="A1" s="2" t="s">
        <v>11</v>
      </c>
      <c r="B1" s="2" t="s">
        <v>321</v>
      </c>
    </row>
    <row r="2" spans="1:2">
      <c r="A2" t="s">
        <v>195</v>
      </c>
      <c r="B2">
        <v>30</v>
      </c>
    </row>
    <row r="3" spans="1:2">
      <c r="A3" t="s">
        <v>196</v>
      </c>
      <c r="B3">
        <v>34</v>
      </c>
    </row>
    <row r="4" spans="1:2">
      <c r="A4" t="s">
        <v>197</v>
      </c>
      <c r="B4">
        <v>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election activeCell="B2" sqref="B2"/>
    </sheetView>
  </sheetViews>
  <sheetFormatPr defaultRowHeight="14.4"/>
  <cols>
    <col min="1" max="1" width="33.88671875" customWidth="1"/>
  </cols>
  <sheetData>
    <row r="1" spans="1:1">
      <c r="A1" s="2" t="s">
        <v>322</v>
      </c>
    </row>
    <row r="2" spans="1:1">
      <c r="A2">
        <v>3.7647058823529411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zoomScale="85" zoomScaleNormal="85" workbookViewId="0">
      <selection activeCell="E15" sqref="E15"/>
    </sheetView>
  </sheetViews>
  <sheetFormatPr defaultRowHeight="14.4"/>
  <cols>
    <col min="2" max="2" width="13.6640625" customWidth="1"/>
    <col min="3" max="3" width="17.5546875" customWidth="1"/>
    <col min="4" max="4" width="17.33203125" customWidth="1"/>
    <col min="5" max="5" width="25.44140625" customWidth="1"/>
  </cols>
  <sheetData>
    <row r="1" spans="1:5">
      <c r="A1" s="2" t="s">
        <v>6</v>
      </c>
      <c r="B1" s="2" t="s">
        <v>323</v>
      </c>
      <c r="C1" s="2" t="s">
        <v>324</v>
      </c>
      <c r="D1" s="2" t="s">
        <v>325</v>
      </c>
      <c r="E1" s="2" t="s">
        <v>326</v>
      </c>
    </row>
    <row r="2" spans="1:5">
      <c r="A2" t="s">
        <v>188</v>
      </c>
      <c r="B2">
        <v>14</v>
      </c>
      <c r="C2">
        <v>5</v>
      </c>
      <c r="D2">
        <v>3010</v>
      </c>
      <c r="E2">
        <v>35.714285714285722</v>
      </c>
    </row>
    <row r="3" spans="1:5">
      <c r="A3" t="s">
        <v>186</v>
      </c>
      <c r="B3">
        <v>18</v>
      </c>
      <c r="C3">
        <v>3</v>
      </c>
      <c r="D3">
        <v>1842</v>
      </c>
      <c r="E3">
        <v>16.666666666666671</v>
      </c>
    </row>
    <row r="4" spans="1:5">
      <c r="A4" t="s">
        <v>185</v>
      </c>
      <c r="B4">
        <v>25</v>
      </c>
      <c r="C4">
        <v>10</v>
      </c>
      <c r="D4">
        <v>4075</v>
      </c>
      <c r="E4">
        <v>40</v>
      </c>
    </row>
    <row r="5" spans="1:5">
      <c r="A5" t="s">
        <v>187</v>
      </c>
      <c r="B5">
        <v>20</v>
      </c>
      <c r="C5">
        <v>4</v>
      </c>
      <c r="D5">
        <v>1063</v>
      </c>
      <c r="E5">
        <v>20</v>
      </c>
    </row>
    <row r="6" spans="1:5">
      <c r="A6" t="s">
        <v>189</v>
      </c>
      <c r="B6">
        <v>23</v>
      </c>
      <c r="C6">
        <v>8</v>
      </c>
      <c r="D6">
        <v>3666</v>
      </c>
      <c r="E6">
        <v>34.782608695652172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3"/>
  <sheetViews>
    <sheetView workbookViewId="0">
      <selection activeCell="D1" sqref="D1"/>
    </sheetView>
  </sheetViews>
  <sheetFormatPr defaultRowHeight="14.4"/>
  <cols>
    <col min="1" max="1" width="21.33203125" customWidth="1"/>
    <col min="2" max="2" width="19.109375" customWidth="1"/>
    <col min="3" max="3" width="15.44140625" customWidth="1"/>
  </cols>
  <sheetData>
    <row r="1" spans="1:3">
      <c r="A1" s="2" t="s">
        <v>5</v>
      </c>
      <c r="B1" s="2" t="s">
        <v>19</v>
      </c>
      <c r="C1" s="2" t="s">
        <v>325</v>
      </c>
    </row>
    <row r="2" spans="1:3">
      <c r="A2" s="3" t="s">
        <v>177</v>
      </c>
      <c r="B2" s="3" t="s">
        <v>221</v>
      </c>
      <c r="C2">
        <v>4866</v>
      </c>
    </row>
    <row r="3" spans="1:3">
      <c r="A3" s="3" t="s">
        <v>182</v>
      </c>
      <c r="B3" s="3" t="s">
        <v>226</v>
      </c>
      <c r="C3">
        <v>3220</v>
      </c>
    </row>
    <row r="4" spans="1:3">
      <c r="A4" s="3" t="s">
        <v>164</v>
      </c>
      <c r="B4" s="3" t="s">
        <v>208</v>
      </c>
      <c r="C4">
        <v>1239</v>
      </c>
    </row>
    <row r="5" spans="1:3">
      <c r="A5" s="3" t="s">
        <v>181</v>
      </c>
      <c r="B5" s="3" t="s">
        <v>225</v>
      </c>
      <c r="C5">
        <v>864</v>
      </c>
    </row>
    <row r="6" spans="1:3">
      <c r="A6" s="3" t="s">
        <v>170</v>
      </c>
      <c r="B6" s="3" t="s">
        <v>214</v>
      </c>
      <c r="C6">
        <v>695</v>
      </c>
    </row>
    <row r="7" spans="1:3">
      <c r="A7" s="3" t="s">
        <v>172</v>
      </c>
      <c r="B7" s="3" t="s">
        <v>216</v>
      </c>
      <c r="C7">
        <v>577</v>
      </c>
    </row>
    <row r="8" spans="1:3">
      <c r="A8" s="3" t="s">
        <v>173</v>
      </c>
      <c r="B8" s="3" t="s">
        <v>217</v>
      </c>
      <c r="C8">
        <v>292</v>
      </c>
    </row>
    <row r="9" spans="1:3">
      <c r="A9" s="3" t="s">
        <v>168</v>
      </c>
      <c r="B9" s="3" t="s">
        <v>212</v>
      </c>
      <c r="C9">
        <v>288</v>
      </c>
    </row>
    <row r="10" spans="1:3">
      <c r="A10" s="3" t="s">
        <v>174</v>
      </c>
      <c r="B10" s="3" t="s">
        <v>218</v>
      </c>
      <c r="C10">
        <v>269</v>
      </c>
    </row>
    <row r="11" spans="1:3">
      <c r="A11" s="3" t="s">
        <v>179</v>
      </c>
      <c r="B11" s="3" t="s">
        <v>223</v>
      </c>
      <c r="C11">
        <v>256</v>
      </c>
    </row>
    <row r="12" spans="1:3">
      <c r="A12" s="3" t="s">
        <v>184</v>
      </c>
      <c r="B12" s="3" t="s">
        <v>228</v>
      </c>
      <c r="C12">
        <v>254</v>
      </c>
    </row>
    <row r="13" spans="1:3">
      <c r="A13" s="3" t="s">
        <v>169</v>
      </c>
      <c r="B13" s="3" t="s">
        <v>213</v>
      </c>
      <c r="C13">
        <v>215</v>
      </c>
    </row>
    <row r="14" spans="1:3">
      <c r="A14" s="3" t="s">
        <v>178</v>
      </c>
      <c r="B14" s="3" t="s">
        <v>222</v>
      </c>
      <c r="C14">
        <v>207</v>
      </c>
    </row>
    <row r="15" spans="1:3">
      <c r="A15" s="3" t="s">
        <v>175</v>
      </c>
      <c r="B15" s="3" t="s">
        <v>219</v>
      </c>
      <c r="C15">
        <v>127</v>
      </c>
    </row>
    <row r="16" spans="1:3">
      <c r="A16" s="3" t="s">
        <v>183</v>
      </c>
      <c r="B16" s="3" t="s">
        <v>227</v>
      </c>
      <c r="C16">
        <v>124</v>
      </c>
    </row>
    <row r="17" spans="1:3">
      <c r="A17" s="3" t="s">
        <v>167</v>
      </c>
      <c r="B17" s="3" t="s">
        <v>211</v>
      </c>
      <c r="C17">
        <v>104</v>
      </c>
    </row>
    <row r="18" spans="1:3">
      <c r="A18" s="3" t="s">
        <v>166</v>
      </c>
      <c r="B18" s="3" t="s">
        <v>210</v>
      </c>
      <c r="C18">
        <v>59</v>
      </c>
    </row>
    <row r="19" spans="1:3">
      <c r="A19" s="3" t="s">
        <v>165</v>
      </c>
      <c r="B19" s="3" t="s">
        <v>209</v>
      </c>
      <c r="C19">
        <v>0</v>
      </c>
    </row>
    <row r="20" spans="1:3">
      <c r="A20" s="3" t="s">
        <v>171</v>
      </c>
      <c r="B20" s="3" t="s">
        <v>215</v>
      </c>
      <c r="C20">
        <v>0</v>
      </c>
    </row>
    <row r="21" spans="1:3">
      <c r="A21" s="3" t="s">
        <v>180</v>
      </c>
      <c r="B21" s="3" t="s">
        <v>224</v>
      </c>
      <c r="C21">
        <v>0</v>
      </c>
    </row>
    <row r="22" spans="1:3">
      <c r="A22" s="3" t="s">
        <v>176</v>
      </c>
      <c r="B22" s="3" t="s">
        <v>220</v>
      </c>
      <c r="C22">
        <v>0</v>
      </c>
    </row>
    <row r="23" spans="1:3">
      <c r="A23" s="3" t="s">
        <v>163</v>
      </c>
      <c r="B23" s="3" t="s">
        <v>207</v>
      </c>
      <c r="C23">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1BB1-40C7-42ED-8765-30A566866DAA}">
  <dimension ref="C2:O24"/>
  <sheetViews>
    <sheetView zoomScale="85" zoomScaleNormal="85" workbookViewId="0">
      <selection activeCell="C19" sqref="C19"/>
    </sheetView>
  </sheetViews>
  <sheetFormatPr defaultRowHeight="14.4"/>
  <cols>
    <col min="10" max="10" width="8.88671875" customWidth="1"/>
  </cols>
  <sheetData>
    <row r="2" spans="3:3">
      <c r="C2" s="7" t="s">
        <v>368</v>
      </c>
    </row>
    <row r="4" spans="3:3">
      <c r="C4" s="7" t="s">
        <v>369</v>
      </c>
    </row>
    <row r="5" spans="3:3">
      <c r="C5" t="s">
        <v>370</v>
      </c>
    </row>
    <row r="7" spans="3:3">
      <c r="C7" s="7" t="s">
        <v>371</v>
      </c>
    </row>
    <row r="8" spans="3:3">
      <c r="C8" t="s">
        <v>372</v>
      </c>
    </row>
    <row r="10" spans="3:3">
      <c r="C10" s="7" t="s">
        <v>373</v>
      </c>
    </row>
    <row r="11" spans="3:3">
      <c r="C11" t="s">
        <v>374</v>
      </c>
    </row>
    <row r="13" spans="3:3">
      <c r="C13" s="7" t="s">
        <v>375</v>
      </c>
    </row>
    <row r="14" spans="3:3">
      <c r="C14" t="s">
        <v>382</v>
      </c>
    </row>
    <row r="15" spans="3:3">
      <c r="C15" s="14"/>
    </row>
    <row r="16" spans="3:3">
      <c r="C16" s="14" t="s">
        <v>381</v>
      </c>
    </row>
    <row r="17" spans="3:15">
      <c r="C17" s="14" t="s">
        <v>379</v>
      </c>
    </row>
    <row r="18" spans="3:15">
      <c r="C18" s="14"/>
    </row>
    <row r="19" spans="3:15">
      <c r="C19" t="s">
        <v>376</v>
      </c>
    </row>
    <row r="20" spans="3:15">
      <c r="C20" s="15" t="s">
        <v>377</v>
      </c>
    </row>
    <row r="21" spans="3:15">
      <c r="C21" t="s">
        <v>378</v>
      </c>
    </row>
    <row r="22" spans="3:15">
      <c r="C22" s="15"/>
    </row>
    <row r="23" spans="3:15">
      <c r="C23" s="7" t="s">
        <v>380</v>
      </c>
    </row>
    <row r="24" spans="3:15" ht="94.8" customHeight="1">
      <c r="C24" s="17" t="s">
        <v>383</v>
      </c>
      <c r="D24" s="17"/>
      <c r="E24" s="17"/>
      <c r="F24" s="17"/>
      <c r="G24" s="17"/>
      <c r="H24" s="17"/>
      <c r="I24" s="17"/>
      <c r="J24" s="17"/>
      <c r="K24" s="17"/>
      <c r="L24" s="17"/>
      <c r="M24" s="17"/>
      <c r="N24" s="17"/>
      <c r="O24" s="17"/>
    </row>
  </sheetData>
  <mergeCells count="1">
    <mergeCell ref="C24:O2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3"/>
  <sheetViews>
    <sheetView workbookViewId="0">
      <selection activeCell="D16" sqref="D16"/>
    </sheetView>
  </sheetViews>
  <sheetFormatPr defaultRowHeight="14.4"/>
  <cols>
    <col min="1" max="1" width="16.109375" customWidth="1"/>
  </cols>
  <sheetData>
    <row r="1" spans="1:1">
      <c r="A1" s="1" t="s">
        <v>327</v>
      </c>
    </row>
    <row r="2" spans="1:1">
      <c r="A2" t="s">
        <v>328</v>
      </c>
    </row>
    <row r="3" spans="1:1">
      <c r="A3" t="s">
        <v>329</v>
      </c>
    </row>
    <row r="4" spans="1:1">
      <c r="A4" t="s">
        <v>330</v>
      </c>
    </row>
    <row r="5" spans="1:1">
      <c r="A5" t="s">
        <v>331</v>
      </c>
    </row>
    <row r="6" spans="1:1">
      <c r="A6" t="s">
        <v>332</v>
      </c>
    </row>
    <row r="7" spans="1:1">
      <c r="A7" t="s">
        <v>333</v>
      </c>
    </row>
    <row r="8" spans="1:1">
      <c r="A8" t="s">
        <v>334</v>
      </c>
    </row>
    <row r="9" spans="1:1">
      <c r="A9" t="s">
        <v>335</v>
      </c>
    </row>
    <row r="10" spans="1:1">
      <c r="A10" t="s">
        <v>336</v>
      </c>
    </row>
    <row r="11" spans="1:1">
      <c r="A11" t="s">
        <v>337</v>
      </c>
    </row>
    <row r="12" spans="1:1">
      <c r="A12" t="s">
        <v>338</v>
      </c>
    </row>
    <row r="13" spans="1:1">
      <c r="A13"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PIVOT A</vt:lpstr>
      <vt:lpstr>PIVOT B</vt:lpstr>
      <vt:lpstr>PIVOT C</vt:lpstr>
      <vt:lpstr>KPI_Pivots</vt:lpstr>
      <vt:lpstr>GETPIVOTDATA</vt:lpstr>
      <vt:lpstr>SalesTbl</vt:lpstr>
      <vt:lpstr>ProductTbl</vt:lpstr>
      <vt:lpstr>RegionTbl</vt:lpstr>
      <vt:lpstr>CustomerTbl</vt:lpstr>
      <vt:lpstr>Pivot_Ref_SalesByRegCat</vt:lpstr>
      <vt:lpstr>Pivot_Ref_CountByStatus</vt:lpstr>
      <vt:lpstr>Pivot_Ref_AvgDelTime</vt:lpstr>
      <vt:lpstr>Pivot_Ref_RegionKPI</vt:lpstr>
      <vt:lpstr>Pivot_Ref_ProductSales</vt:lpstr>
      <vt:lpstr>Brainstorm answers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dishantjain88879@gmail.com</cp:lastModifiedBy>
  <dcterms:created xsi:type="dcterms:W3CDTF">2025-08-16T15:19:49Z</dcterms:created>
  <dcterms:modified xsi:type="dcterms:W3CDTF">2026-01-29T08:11:34Z</dcterms:modified>
</cp:coreProperties>
</file>